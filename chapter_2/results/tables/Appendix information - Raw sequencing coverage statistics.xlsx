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0ed44706d46718/Documents/PhD/PhD---omics-analysis-portfolio/Chapter 2/Data/"/>
    </mc:Choice>
  </mc:AlternateContent>
  <xr:revisionPtr revIDLastSave="181" documentId="8_{E1F56536-849D-416C-A155-F127E6B45A08}" xr6:coauthVersionLast="47" xr6:coauthVersionMax="47" xr10:uidLastSave="{797EA3C6-4B85-4B0A-90A5-7DF928593BD2}"/>
  <bookViews>
    <workbookView xWindow="-108" yWindow="-108" windowWidth="23256" windowHeight="12456" activeTab="2" xr2:uid="{CDD6764E-97FB-411D-84CA-3FDB62B4B0AC}"/>
  </bookViews>
  <sheets>
    <sheet name="Sheet1" sheetId="1" r:id="rId1"/>
    <sheet name="Sheet2" sheetId="2" r:id="rId2"/>
    <sheet name="Supplementary Table" sheetId="3" r:id="rId3"/>
    <sheet name="Data for Fig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3" l="1"/>
  <c r="H23" i="3"/>
  <c r="G23" i="3"/>
  <c r="F23" i="3"/>
  <c r="E23" i="3"/>
  <c r="I22" i="3"/>
  <c r="H22" i="3"/>
  <c r="G22" i="3"/>
  <c r="F22" i="3"/>
  <c r="E22" i="3"/>
  <c r="H2" i="3"/>
  <c r="I2" i="3" s="1"/>
  <c r="H10" i="3"/>
  <c r="I10" i="3" s="1"/>
  <c r="H11" i="3"/>
  <c r="I11" i="3" s="1"/>
  <c r="H16" i="3"/>
  <c r="I16" i="3" s="1"/>
  <c r="H6" i="3"/>
  <c r="I6" i="3" s="1"/>
  <c r="H12" i="3"/>
  <c r="I12" i="3" s="1"/>
  <c r="H13" i="3"/>
  <c r="I13" i="3" s="1"/>
  <c r="H7" i="3"/>
  <c r="I7" i="3" s="1"/>
  <c r="H17" i="3"/>
  <c r="I17" i="3" s="1"/>
  <c r="H3" i="3"/>
  <c r="I3" i="3" s="1"/>
  <c r="H8" i="3"/>
  <c r="I8" i="3" s="1"/>
  <c r="H9" i="3"/>
  <c r="I9" i="3" s="1"/>
  <c r="H14" i="3"/>
  <c r="I14" i="3" s="1"/>
  <c r="H18" i="3"/>
  <c r="I18" i="3" s="1"/>
  <c r="H19" i="3"/>
  <c r="I19" i="3" s="1"/>
  <c r="H4" i="3"/>
  <c r="I4" i="3" s="1"/>
  <c r="H5" i="3"/>
  <c r="I5" i="3" s="1"/>
  <c r="H15" i="3"/>
  <c r="L4" i="1"/>
  <c r="L5" i="1"/>
  <c r="L6" i="1"/>
  <c r="L7" i="1"/>
  <c r="L8" i="1"/>
  <c r="L10" i="1"/>
  <c r="L11" i="1"/>
  <c r="L12" i="1"/>
  <c r="L13" i="1"/>
  <c r="L14" i="1"/>
  <c r="L16" i="1"/>
  <c r="L17" i="1"/>
  <c r="L18" i="1"/>
  <c r="L19" i="1"/>
  <c r="L9" i="1"/>
  <c r="L15" i="1"/>
  <c r="L2" i="1"/>
  <c r="L3" i="1"/>
  <c r="G24" i="3" l="1"/>
  <c r="F24" i="3"/>
  <c r="H24" i="3"/>
  <c r="I15" i="3"/>
  <c r="I24" i="3"/>
  <c r="E24" i="3"/>
</calcChain>
</file>

<file path=xl/sharedStrings.xml><?xml version="1.0" encoding="utf-8"?>
<sst xmlns="http://schemas.openxmlformats.org/spreadsheetml/2006/main" count="205" uniqueCount="54">
  <si>
    <t>sample</t>
  </si>
  <si>
    <t>sample_id</t>
  </si>
  <si>
    <t>reads_R1</t>
  </si>
  <si>
    <t>reads_R2</t>
  </si>
  <si>
    <t>read_pairs</t>
  </si>
  <si>
    <t>total_reads</t>
  </si>
  <si>
    <t>mean_read_length_R2</t>
  </si>
  <si>
    <t>mean_base_quality_R1</t>
  </si>
  <si>
    <t>mean_base_quality_R2</t>
  </si>
  <si>
    <t>raw_bases_total</t>
  </si>
  <si>
    <t>Sample_3-3_D</t>
  </si>
  <si>
    <t>Sample_6-6_D</t>
  </si>
  <si>
    <t>Sample_7-7_D</t>
  </si>
  <si>
    <t>Sample_8-8_D</t>
  </si>
  <si>
    <t>Sample_9-9_D</t>
  </si>
  <si>
    <t>Sample_10-10_D</t>
  </si>
  <si>
    <t>Sample_13-13_D</t>
  </si>
  <si>
    <t>Sample_14-14_D</t>
  </si>
  <si>
    <t>Sample_15-15_D</t>
  </si>
  <si>
    <t>Sample_16-16_D</t>
  </si>
  <si>
    <t>Sample_17-17_D</t>
  </si>
  <si>
    <t>Sample_20-20_D</t>
  </si>
  <si>
    <t>Sample_21-21_D</t>
  </si>
  <si>
    <t>Sample_22-22_D</t>
  </si>
  <si>
    <t>Sample_27-27_D</t>
  </si>
  <si>
    <t>Sample_29-11_redo_D</t>
  </si>
  <si>
    <t>Sample_32-18_redo_D</t>
  </si>
  <si>
    <t>Sample_36-2_redo_D</t>
  </si>
  <si>
    <t>Genome base length</t>
  </si>
  <si>
    <t>Coverage</t>
  </si>
  <si>
    <t>metric</t>
  </si>
  <si>
    <t>n_samples</t>
  </si>
  <si>
    <t>sum</t>
  </si>
  <si>
    <t>mean</t>
  </si>
  <si>
    <t>median</t>
  </si>
  <si>
    <t>min</t>
  </si>
  <si>
    <t>max</t>
  </si>
  <si>
    <t>read_pairs_total</t>
  </si>
  <si>
    <t>unique_best_hit_pairs</t>
  </si>
  <si>
    <t>mapping_efficiency_reported</t>
  </si>
  <si>
    <t>mapping_efficiency_calculated</t>
  </si>
  <si>
    <t>Sample_3_3_D</t>
  </si>
  <si>
    <t>mean_read_length</t>
  </si>
  <si>
    <t>Total Bases</t>
  </si>
  <si>
    <t>Read Pairs</t>
  </si>
  <si>
    <t>Total Reads</t>
  </si>
  <si>
    <t>Mean Length</t>
  </si>
  <si>
    <t>Alignment (%)</t>
  </si>
  <si>
    <t>Experiment</t>
  </si>
  <si>
    <t>Treatment</t>
  </si>
  <si>
    <t>Primed</t>
  </si>
  <si>
    <t>Acute</t>
  </si>
  <si>
    <t>Naïve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</si>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</sst>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E9E9-99C8-4413-A969-8778BCE93713}">
  <dimension ref="A1:M24"/>
  <sheetViews>
    <sheetView zoomScaleNormal="100" workbookViewId="0">
      <selection activeCell="C21" sqref="C21:I24"/>
    </sheetView>
  </sheetViews>
  <sheetFormatPr defaultRowHeight="14.4" x14ac:dyDescent="0.3"/>
  <cols>
    <col min="1" max="1" width="19.88671875" bestFit="1" customWidth="1"/>
    <col min="2" max="2" width="10.21875" style="1" customWidth="1"/>
    <col min="3" max="3" width="15" bestFit="1" customWidth="1"/>
    <col min="4" max="4" width="10.21875" bestFit="1" customWidth="1"/>
    <col min="5" max="5" width="13.77734375" bestFit="1" customWidth="1"/>
    <col min="6" max="6" width="12.6640625" bestFit="1" customWidth="1"/>
    <col min="7" max="8" width="20" bestFit="1" customWidth="1"/>
    <col min="9" max="9" width="20.77734375" customWidth="1"/>
    <col min="10" max="10" width="20.77734375" bestFit="1" customWidth="1"/>
    <col min="11" max="11" width="15.33203125" bestFit="1" customWidth="1"/>
    <col min="13" max="13" width="13.77734375" bestFit="1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42</v>
      </c>
      <c r="H1" t="s">
        <v>6</v>
      </c>
      <c r="I1" t="s">
        <v>7</v>
      </c>
      <c r="J1" t="s">
        <v>8</v>
      </c>
      <c r="K1" t="s">
        <v>9</v>
      </c>
      <c r="L1" t="s">
        <v>29</v>
      </c>
    </row>
    <row r="2" spans="1:13" x14ac:dyDescent="0.3">
      <c r="A2" t="s">
        <v>27</v>
      </c>
      <c r="B2" s="1">
        <v>2</v>
      </c>
      <c r="C2">
        <v>21265745</v>
      </c>
      <c r="D2">
        <v>21265745</v>
      </c>
      <c r="E2">
        <v>21265745</v>
      </c>
      <c r="F2">
        <v>42531490</v>
      </c>
      <c r="G2">
        <v>151</v>
      </c>
      <c r="H2">
        <v>151</v>
      </c>
      <c r="I2">
        <v>35.9</v>
      </c>
      <c r="J2">
        <v>35.200000000000003</v>
      </c>
      <c r="K2" s="2">
        <v>6422254990</v>
      </c>
      <c r="L2" s="2">
        <f>K2/$A$22</f>
        <v>15.700095890236719</v>
      </c>
    </row>
    <row r="3" spans="1:13" x14ac:dyDescent="0.3">
      <c r="A3" t="s">
        <v>10</v>
      </c>
      <c r="B3" s="1">
        <v>3</v>
      </c>
      <c r="C3">
        <v>21190190</v>
      </c>
      <c r="D3">
        <v>21190190</v>
      </c>
      <c r="E3">
        <v>21190190</v>
      </c>
      <c r="F3">
        <v>42380380</v>
      </c>
      <c r="G3">
        <v>151</v>
      </c>
      <c r="H3">
        <v>151</v>
      </c>
      <c r="I3">
        <v>35.9</v>
      </c>
      <c r="J3">
        <v>35.6</v>
      </c>
      <c r="K3" s="2">
        <v>6399437380</v>
      </c>
      <c r="L3" s="2">
        <f>K3/$A$22</f>
        <v>15.644315067839628</v>
      </c>
      <c r="M3" s="2"/>
    </row>
    <row r="4" spans="1:13" x14ac:dyDescent="0.3">
      <c r="A4" t="s">
        <v>11</v>
      </c>
      <c r="B4" s="1">
        <v>6</v>
      </c>
      <c r="C4">
        <v>18678788</v>
      </c>
      <c r="D4">
        <v>18678788</v>
      </c>
      <c r="E4">
        <v>18678788</v>
      </c>
      <c r="F4">
        <v>37357576</v>
      </c>
      <c r="G4">
        <v>151</v>
      </c>
      <c r="H4">
        <v>151</v>
      </c>
      <c r="I4">
        <v>35.9</v>
      </c>
      <c r="J4">
        <v>35.5</v>
      </c>
      <c r="K4" s="2">
        <v>5640993976</v>
      </c>
      <c r="L4" s="2">
        <f>K4/$A$22</f>
        <v>13.79019463994339</v>
      </c>
      <c r="M4" s="2"/>
    </row>
    <row r="5" spans="1:13" x14ac:dyDescent="0.3">
      <c r="A5" t="s">
        <v>12</v>
      </c>
      <c r="B5" s="1">
        <v>7</v>
      </c>
      <c r="C5">
        <v>21604918</v>
      </c>
      <c r="D5">
        <v>21604918</v>
      </c>
      <c r="E5">
        <v>21604918</v>
      </c>
      <c r="F5">
        <v>43209836</v>
      </c>
      <c r="G5">
        <v>151</v>
      </c>
      <c r="H5">
        <v>151</v>
      </c>
      <c r="I5">
        <v>35.9</v>
      </c>
      <c r="J5">
        <v>35.6</v>
      </c>
      <c r="K5" s="2">
        <v>6524685236</v>
      </c>
      <c r="L5" s="2">
        <f>K5/$A$22</f>
        <v>15.950500878323394</v>
      </c>
      <c r="M5" s="2"/>
    </row>
    <row r="6" spans="1:13" x14ac:dyDescent="0.3">
      <c r="A6" t="s">
        <v>13</v>
      </c>
      <c r="B6" s="1">
        <v>8</v>
      </c>
      <c r="C6">
        <v>22126410</v>
      </c>
      <c r="D6">
        <v>22126410</v>
      </c>
      <c r="E6">
        <v>22126410</v>
      </c>
      <c r="F6">
        <v>44252820</v>
      </c>
      <c r="G6">
        <v>151</v>
      </c>
      <c r="H6">
        <v>151</v>
      </c>
      <c r="I6">
        <v>35.9</v>
      </c>
      <c r="J6">
        <v>35.6</v>
      </c>
      <c r="K6" s="2">
        <v>6682175820</v>
      </c>
      <c r="L6" s="2">
        <f>K6/$A$22</f>
        <v>16.335508523528926</v>
      </c>
      <c r="M6" s="2"/>
    </row>
    <row r="7" spans="1:13" x14ac:dyDescent="0.3">
      <c r="A7" t="s">
        <v>14</v>
      </c>
      <c r="B7" s="1">
        <v>9</v>
      </c>
      <c r="C7">
        <v>20065161</v>
      </c>
      <c r="D7">
        <v>20065161</v>
      </c>
      <c r="E7">
        <v>20065161</v>
      </c>
      <c r="F7">
        <v>40130322</v>
      </c>
      <c r="G7">
        <v>151</v>
      </c>
      <c r="H7">
        <v>151</v>
      </c>
      <c r="I7">
        <v>35.799999999999997</v>
      </c>
      <c r="J7">
        <v>35.6</v>
      </c>
      <c r="K7" s="2">
        <v>6059678622</v>
      </c>
      <c r="L7" s="2">
        <f>K7/$A$22</f>
        <v>14.8137275112176</v>
      </c>
      <c r="M7" s="2"/>
    </row>
    <row r="8" spans="1:13" x14ac:dyDescent="0.3">
      <c r="A8" t="s">
        <v>15</v>
      </c>
      <c r="B8" s="1">
        <v>10</v>
      </c>
      <c r="C8">
        <v>15551466</v>
      </c>
      <c r="D8">
        <v>15551466</v>
      </c>
      <c r="E8">
        <v>15551466</v>
      </c>
      <c r="F8">
        <v>31102932</v>
      </c>
      <c r="G8">
        <v>151</v>
      </c>
      <c r="H8">
        <v>151</v>
      </c>
      <c r="I8">
        <v>35.9</v>
      </c>
      <c r="J8">
        <v>35.700000000000003</v>
      </c>
      <c r="K8" s="2">
        <v>4696542732</v>
      </c>
      <c r="L8" s="2">
        <f>K8/$A$22</f>
        <v>11.481352166771307</v>
      </c>
      <c r="M8" s="2"/>
    </row>
    <row r="9" spans="1:13" x14ac:dyDescent="0.3">
      <c r="A9" t="s">
        <v>25</v>
      </c>
      <c r="B9" s="1">
        <v>11</v>
      </c>
      <c r="C9">
        <v>17474544</v>
      </c>
      <c r="D9">
        <v>17474544</v>
      </c>
      <c r="E9">
        <v>17474544</v>
      </c>
      <c r="F9">
        <v>34949088</v>
      </c>
      <c r="G9">
        <v>151</v>
      </c>
      <c r="H9">
        <v>151</v>
      </c>
      <c r="I9">
        <v>35.9</v>
      </c>
      <c r="J9">
        <v>35.299999999999997</v>
      </c>
      <c r="K9" s="2">
        <v>5277312288</v>
      </c>
      <c r="L9" s="2">
        <f>K9/$A$22</f>
        <v>12.901124152394413</v>
      </c>
      <c r="M9" s="2"/>
    </row>
    <row r="10" spans="1:13" x14ac:dyDescent="0.3">
      <c r="A10" t="s">
        <v>16</v>
      </c>
      <c r="B10" s="1">
        <v>13</v>
      </c>
      <c r="C10">
        <v>19847027</v>
      </c>
      <c r="D10">
        <v>19847027</v>
      </c>
      <c r="E10">
        <v>19847027</v>
      </c>
      <c r="F10">
        <v>39694054</v>
      </c>
      <c r="G10">
        <v>151</v>
      </c>
      <c r="H10">
        <v>151</v>
      </c>
      <c r="I10">
        <v>35.799999999999997</v>
      </c>
      <c r="J10">
        <v>35.6</v>
      </c>
      <c r="K10" s="2">
        <v>5993802154</v>
      </c>
      <c r="L10" s="2">
        <f>K10/$A$22</f>
        <v>14.652683319400154</v>
      </c>
      <c r="M10" s="2"/>
    </row>
    <row r="11" spans="1:13" x14ac:dyDescent="0.3">
      <c r="A11" t="s">
        <v>17</v>
      </c>
      <c r="B11" s="1">
        <v>14</v>
      </c>
      <c r="C11">
        <v>15886345</v>
      </c>
      <c r="D11">
        <v>15886345</v>
      </c>
      <c r="E11">
        <v>15886345</v>
      </c>
      <c r="F11">
        <v>31772690</v>
      </c>
      <c r="G11">
        <v>151</v>
      </c>
      <c r="H11">
        <v>151</v>
      </c>
      <c r="I11">
        <v>35.799999999999997</v>
      </c>
      <c r="J11">
        <v>35.5</v>
      </c>
      <c r="K11" s="2">
        <v>4797676190</v>
      </c>
      <c r="L11" s="2">
        <f>K11/$A$22</f>
        <v>11.728586976162022</v>
      </c>
      <c r="M11" s="2"/>
    </row>
    <row r="12" spans="1:13" x14ac:dyDescent="0.3">
      <c r="A12" t="s">
        <v>18</v>
      </c>
      <c r="B12" s="1">
        <v>15</v>
      </c>
      <c r="C12">
        <v>18893234</v>
      </c>
      <c r="D12">
        <v>18893234</v>
      </c>
      <c r="E12">
        <v>18893234</v>
      </c>
      <c r="F12">
        <v>37786468</v>
      </c>
      <c r="G12">
        <v>151</v>
      </c>
      <c r="H12">
        <v>151</v>
      </c>
      <c r="I12">
        <v>35.799999999999997</v>
      </c>
      <c r="J12">
        <v>35.6</v>
      </c>
      <c r="K12" s="2">
        <v>5705756668</v>
      </c>
      <c r="L12" s="2">
        <f>K12/$A$22</f>
        <v>13.948516051362445</v>
      </c>
      <c r="M12" s="2"/>
    </row>
    <row r="13" spans="1:13" x14ac:dyDescent="0.3">
      <c r="A13" t="s">
        <v>19</v>
      </c>
      <c r="B13" s="1">
        <v>16</v>
      </c>
      <c r="C13">
        <v>17109819</v>
      </c>
      <c r="D13">
        <v>17109819</v>
      </c>
      <c r="E13">
        <v>17109819</v>
      </c>
      <c r="F13">
        <v>34219638</v>
      </c>
      <c r="G13">
        <v>151</v>
      </c>
      <c r="H13">
        <v>151</v>
      </c>
      <c r="I13">
        <v>35.9</v>
      </c>
      <c r="J13">
        <v>35.5</v>
      </c>
      <c r="K13" s="2">
        <v>5167165338</v>
      </c>
      <c r="L13" s="2">
        <f>K13/$A$22</f>
        <v>12.631854607708037</v>
      </c>
      <c r="M13" s="2"/>
    </row>
    <row r="14" spans="1:13" x14ac:dyDescent="0.3">
      <c r="A14" t="s">
        <v>20</v>
      </c>
      <c r="B14" s="1">
        <v>17</v>
      </c>
      <c r="C14">
        <v>18491291</v>
      </c>
      <c r="D14">
        <v>18491291</v>
      </c>
      <c r="E14">
        <v>18491291</v>
      </c>
      <c r="F14">
        <v>36982582</v>
      </c>
      <c r="G14">
        <v>151</v>
      </c>
      <c r="H14">
        <v>151</v>
      </c>
      <c r="I14">
        <v>35.799999999999997</v>
      </c>
      <c r="J14">
        <v>35.6</v>
      </c>
      <c r="K14" s="2">
        <v>5584369882</v>
      </c>
      <c r="L14" s="2">
        <f>K14/$A$22</f>
        <v>13.651769163707701</v>
      </c>
      <c r="M14" s="2"/>
    </row>
    <row r="15" spans="1:13" x14ac:dyDescent="0.3">
      <c r="A15" t="s">
        <v>26</v>
      </c>
      <c r="B15" s="1">
        <v>18</v>
      </c>
      <c r="C15">
        <v>15791606</v>
      </c>
      <c r="D15">
        <v>15791606</v>
      </c>
      <c r="E15">
        <v>15791606</v>
      </c>
      <c r="F15">
        <v>31583212</v>
      </c>
      <c r="G15">
        <v>151</v>
      </c>
      <c r="H15">
        <v>151</v>
      </c>
      <c r="I15">
        <v>35.9</v>
      </c>
      <c r="J15">
        <v>35.700000000000003</v>
      </c>
      <c r="K15" s="2">
        <v>4769065012</v>
      </c>
      <c r="L15" s="2">
        <f>K15/$A$22</f>
        <v>11.658642970694773</v>
      </c>
      <c r="M15" s="2"/>
    </row>
    <row r="16" spans="1:13" x14ac:dyDescent="0.3">
      <c r="A16" t="s">
        <v>21</v>
      </c>
      <c r="B16" s="1">
        <v>20</v>
      </c>
      <c r="C16">
        <v>14365023</v>
      </c>
      <c r="D16">
        <v>14365023</v>
      </c>
      <c r="E16">
        <v>14365023</v>
      </c>
      <c r="F16">
        <v>28730046</v>
      </c>
      <c r="G16">
        <v>151</v>
      </c>
      <c r="H16">
        <v>151</v>
      </c>
      <c r="I16">
        <v>35.9</v>
      </c>
      <c r="J16">
        <v>35.700000000000003</v>
      </c>
      <c r="K16" s="2">
        <v>4338236946</v>
      </c>
      <c r="L16" s="2">
        <f>K16/$A$22</f>
        <v>10.605423819643091</v>
      </c>
      <c r="M16" s="2"/>
    </row>
    <row r="17" spans="1:13" x14ac:dyDescent="0.3">
      <c r="A17" t="s">
        <v>22</v>
      </c>
      <c r="B17" s="1">
        <v>21</v>
      </c>
      <c r="C17">
        <v>15475417</v>
      </c>
      <c r="D17">
        <v>15475417</v>
      </c>
      <c r="E17">
        <v>15475417</v>
      </c>
      <c r="F17">
        <v>30950834</v>
      </c>
      <c r="G17">
        <v>151</v>
      </c>
      <c r="H17">
        <v>151</v>
      </c>
      <c r="I17">
        <v>35.799999999999997</v>
      </c>
      <c r="J17">
        <v>35.6</v>
      </c>
      <c r="K17" s="2">
        <v>4673575934</v>
      </c>
      <c r="L17" s="2">
        <f>K17/$A$22</f>
        <v>11.425206633550786</v>
      </c>
      <c r="M17" s="2"/>
    </row>
    <row r="18" spans="1:13" x14ac:dyDescent="0.3">
      <c r="A18" t="s">
        <v>23</v>
      </c>
      <c r="B18" s="1">
        <v>22</v>
      </c>
      <c r="C18">
        <v>15410683</v>
      </c>
      <c r="D18">
        <v>15410683</v>
      </c>
      <c r="E18">
        <v>15410683</v>
      </c>
      <c r="F18">
        <v>30821366</v>
      </c>
      <c r="G18">
        <v>151</v>
      </c>
      <c r="H18">
        <v>151</v>
      </c>
      <c r="I18">
        <v>35.9</v>
      </c>
      <c r="J18">
        <v>35.700000000000003</v>
      </c>
      <c r="K18" s="2">
        <v>4654026266</v>
      </c>
      <c r="L18" s="2">
        <f>K18/$A$22</f>
        <v>11.377414750061231</v>
      </c>
      <c r="M18" s="2"/>
    </row>
    <row r="19" spans="1:13" x14ac:dyDescent="0.3">
      <c r="A19" t="s">
        <v>24</v>
      </c>
      <c r="B19" s="1">
        <v>27</v>
      </c>
      <c r="C19">
        <v>15130598</v>
      </c>
      <c r="D19">
        <v>15130598</v>
      </c>
      <c r="E19">
        <v>15130598</v>
      </c>
      <c r="F19">
        <v>30261196</v>
      </c>
      <c r="G19">
        <v>151</v>
      </c>
      <c r="H19">
        <v>151</v>
      </c>
      <c r="I19">
        <v>35.9</v>
      </c>
      <c r="J19">
        <v>35.6</v>
      </c>
      <c r="K19" s="2">
        <v>4569440596</v>
      </c>
      <c r="L19" s="2">
        <f>K19/$A$22</f>
        <v>11.170633310830349</v>
      </c>
      <c r="M19" s="2"/>
    </row>
    <row r="21" spans="1:13" x14ac:dyDescent="0.3">
      <c r="A21" t="s">
        <v>28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</row>
    <row r="22" spans="1:13" x14ac:dyDescent="0.3">
      <c r="A22" s="2">
        <v>409058329</v>
      </c>
      <c r="C22" t="s">
        <v>4</v>
      </c>
      <c r="D22">
        <v>18</v>
      </c>
      <c r="E22" s="2">
        <v>324358265</v>
      </c>
      <c r="F22" s="2">
        <v>18019903.609999999</v>
      </c>
      <c r="G22" s="2">
        <v>17982917.5</v>
      </c>
      <c r="H22" s="2">
        <v>14365023</v>
      </c>
      <c r="I22" s="2">
        <v>22126410</v>
      </c>
    </row>
    <row r="23" spans="1:13" x14ac:dyDescent="0.3">
      <c r="C23" t="s">
        <v>5</v>
      </c>
      <c r="D23">
        <v>18</v>
      </c>
      <c r="E23" s="2">
        <v>648716530</v>
      </c>
      <c r="F23" s="2">
        <v>36039807.219999999</v>
      </c>
      <c r="G23" s="2">
        <v>35965835</v>
      </c>
      <c r="H23" s="2">
        <v>28730046</v>
      </c>
      <c r="I23" s="2">
        <v>44252820</v>
      </c>
    </row>
    <row r="24" spans="1:13" x14ac:dyDescent="0.3">
      <c r="C24" t="s">
        <v>9</v>
      </c>
      <c r="D24">
        <v>18</v>
      </c>
      <c r="E24" s="2">
        <v>97956196030</v>
      </c>
      <c r="F24" s="2">
        <v>5442010890.5600004</v>
      </c>
      <c r="G24" s="2">
        <v>5430841085</v>
      </c>
      <c r="H24" s="2">
        <v>4338236946</v>
      </c>
      <c r="I24" s="2">
        <v>6682175820</v>
      </c>
    </row>
  </sheetData>
  <sortState xmlns:xlrd2="http://schemas.microsoft.com/office/spreadsheetml/2017/richdata2" ref="A2:L24">
    <sortCondition ref="B1:B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A5EC-D7B4-4F93-B821-D1E71D91590D}">
  <dimension ref="A1:G19"/>
  <sheetViews>
    <sheetView workbookViewId="0">
      <selection activeCell="F1" sqref="F1:F19"/>
    </sheetView>
  </sheetViews>
  <sheetFormatPr defaultRowHeight="14.4" x14ac:dyDescent="0.3"/>
  <cols>
    <col min="1" max="1" width="19.109375" bestFit="1" customWidth="1"/>
    <col min="2" max="2" width="10.109375" style="1" bestFit="1" customWidth="1"/>
    <col min="3" max="3" width="13.88671875" bestFit="1" customWidth="1"/>
    <col min="4" max="4" width="9.88671875" bestFit="1" customWidth="1"/>
    <col min="5" max="5" width="18.44140625" bestFit="1" customWidth="1"/>
    <col min="6" max="6" width="24.44140625" bestFit="1" customWidth="1"/>
    <col min="7" max="7" width="26.109375" bestFit="1" customWidth="1"/>
  </cols>
  <sheetData>
    <row r="1" spans="1:7" x14ac:dyDescent="0.3">
      <c r="A1" t="s">
        <v>0</v>
      </c>
      <c r="B1" s="1" t="s">
        <v>1</v>
      </c>
      <c r="C1" t="s">
        <v>37</v>
      </c>
      <c r="D1" t="s">
        <v>5</v>
      </c>
      <c r="E1" t="s">
        <v>38</v>
      </c>
      <c r="F1" t="s">
        <v>39</v>
      </c>
      <c r="G1" t="s">
        <v>40</v>
      </c>
    </row>
    <row r="2" spans="1:7" x14ac:dyDescent="0.3">
      <c r="A2" t="s">
        <v>27</v>
      </c>
      <c r="B2" s="4">
        <v>2</v>
      </c>
      <c r="C2">
        <v>21116291</v>
      </c>
      <c r="D2">
        <v>42232582</v>
      </c>
      <c r="E2">
        <v>9142716</v>
      </c>
      <c r="F2" s="3">
        <v>0.433</v>
      </c>
      <c r="G2" s="3">
        <v>0.433</v>
      </c>
    </row>
    <row r="3" spans="1:7" x14ac:dyDescent="0.3">
      <c r="A3" t="s">
        <v>41</v>
      </c>
      <c r="B3" s="4">
        <v>3</v>
      </c>
      <c r="C3">
        <v>21091239</v>
      </c>
      <c r="D3">
        <v>42182478</v>
      </c>
      <c r="E3">
        <v>10099971</v>
      </c>
      <c r="F3" s="3">
        <v>0.47899999999999998</v>
      </c>
      <c r="G3" s="3">
        <v>0.47889999999999999</v>
      </c>
    </row>
    <row r="4" spans="1:7" x14ac:dyDescent="0.3">
      <c r="A4" t="s">
        <v>11</v>
      </c>
      <c r="B4" s="4">
        <v>6</v>
      </c>
      <c r="C4">
        <v>18588646</v>
      </c>
      <c r="D4">
        <v>37177292</v>
      </c>
      <c r="E4">
        <v>8175660</v>
      </c>
      <c r="F4" s="3">
        <v>0.44</v>
      </c>
      <c r="G4" s="3">
        <v>0.43980000000000002</v>
      </c>
    </row>
    <row r="5" spans="1:7" x14ac:dyDescent="0.3">
      <c r="A5" t="s">
        <v>12</v>
      </c>
      <c r="B5" s="4">
        <v>7</v>
      </c>
      <c r="C5">
        <v>21506980</v>
      </c>
      <c r="D5">
        <v>43013960</v>
      </c>
      <c r="E5">
        <v>9504698</v>
      </c>
      <c r="F5" s="3">
        <v>0.442</v>
      </c>
      <c r="G5" s="3">
        <v>0.44190000000000002</v>
      </c>
    </row>
    <row r="6" spans="1:7" x14ac:dyDescent="0.3">
      <c r="A6" t="s">
        <v>13</v>
      </c>
      <c r="B6" s="4">
        <v>8</v>
      </c>
      <c r="C6">
        <v>22030619</v>
      </c>
      <c r="D6">
        <v>44061238</v>
      </c>
      <c r="E6">
        <v>10742404</v>
      </c>
      <c r="F6" s="3">
        <v>0.48799999999999999</v>
      </c>
      <c r="G6" s="3">
        <v>0.48759999999999998</v>
      </c>
    </row>
    <row r="7" spans="1:7" x14ac:dyDescent="0.3">
      <c r="A7" t="s">
        <v>14</v>
      </c>
      <c r="B7" s="4">
        <v>9</v>
      </c>
      <c r="C7">
        <v>19965412</v>
      </c>
      <c r="D7">
        <v>39930824</v>
      </c>
      <c r="E7">
        <v>9004238</v>
      </c>
      <c r="F7" s="3">
        <v>0.45100000000000001</v>
      </c>
      <c r="G7" s="3">
        <v>0.45100000000000001</v>
      </c>
    </row>
    <row r="8" spans="1:7" x14ac:dyDescent="0.3">
      <c r="A8" t="s">
        <v>15</v>
      </c>
      <c r="B8" s="4">
        <v>10</v>
      </c>
      <c r="C8">
        <v>15479742</v>
      </c>
      <c r="D8">
        <v>30959484</v>
      </c>
      <c r="E8">
        <v>6998807</v>
      </c>
      <c r="F8" s="3">
        <v>0.45200000000000001</v>
      </c>
      <c r="G8" s="3">
        <v>0.4521</v>
      </c>
    </row>
    <row r="9" spans="1:7" x14ac:dyDescent="0.3">
      <c r="A9" t="s">
        <v>25</v>
      </c>
      <c r="B9" s="4">
        <v>11</v>
      </c>
      <c r="C9">
        <v>17373278</v>
      </c>
      <c r="D9">
        <v>34746556</v>
      </c>
      <c r="E9">
        <v>7591446</v>
      </c>
      <c r="F9" s="3">
        <v>0.437</v>
      </c>
      <c r="G9" s="3">
        <v>0.437</v>
      </c>
    </row>
    <row r="10" spans="1:7" x14ac:dyDescent="0.3">
      <c r="A10" t="s">
        <v>16</v>
      </c>
      <c r="B10" s="4">
        <v>13</v>
      </c>
      <c r="C10">
        <v>19750454</v>
      </c>
      <c r="D10">
        <v>39500908</v>
      </c>
      <c r="E10">
        <v>8980100</v>
      </c>
      <c r="F10" s="3">
        <v>0.45500000000000002</v>
      </c>
      <c r="G10" s="3">
        <v>0.45469999999999999</v>
      </c>
    </row>
    <row r="11" spans="1:7" x14ac:dyDescent="0.3">
      <c r="A11" t="s">
        <v>17</v>
      </c>
      <c r="B11" s="4">
        <v>14</v>
      </c>
      <c r="C11">
        <v>15803823</v>
      </c>
      <c r="D11">
        <v>31607646</v>
      </c>
      <c r="E11">
        <v>7091654</v>
      </c>
      <c r="F11" s="3">
        <v>0.44900000000000001</v>
      </c>
      <c r="G11" s="3">
        <v>0.44869999999999999</v>
      </c>
    </row>
    <row r="12" spans="1:7" x14ac:dyDescent="0.3">
      <c r="A12" t="s">
        <v>18</v>
      </c>
      <c r="B12" s="4">
        <v>15</v>
      </c>
      <c r="C12">
        <v>18791168</v>
      </c>
      <c r="D12">
        <v>37582336</v>
      </c>
      <c r="E12">
        <v>8243584</v>
      </c>
      <c r="F12" s="3">
        <v>0.439</v>
      </c>
      <c r="G12" s="3">
        <v>0.43869999999999998</v>
      </c>
    </row>
    <row r="13" spans="1:7" x14ac:dyDescent="0.3">
      <c r="A13" t="s">
        <v>19</v>
      </c>
      <c r="B13" s="4">
        <v>16</v>
      </c>
      <c r="C13">
        <v>17028387</v>
      </c>
      <c r="D13">
        <v>34056774</v>
      </c>
      <c r="E13">
        <v>7485519</v>
      </c>
      <c r="F13" s="3">
        <v>0.44</v>
      </c>
      <c r="G13" s="3">
        <v>0.43959999999999999</v>
      </c>
    </row>
    <row r="14" spans="1:7" x14ac:dyDescent="0.3">
      <c r="A14" t="s">
        <v>20</v>
      </c>
      <c r="B14" s="4">
        <v>17</v>
      </c>
      <c r="C14">
        <v>18404639</v>
      </c>
      <c r="D14">
        <v>36809278</v>
      </c>
      <c r="E14">
        <v>8916122</v>
      </c>
      <c r="F14" s="3">
        <v>0.48399999999999999</v>
      </c>
      <c r="G14" s="3">
        <v>0.4844</v>
      </c>
    </row>
    <row r="15" spans="1:7" x14ac:dyDescent="0.3">
      <c r="A15" t="s">
        <v>26</v>
      </c>
      <c r="B15" s="4">
        <v>18</v>
      </c>
      <c r="C15">
        <v>15726180</v>
      </c>
      <c r="D15">
        <v>31452360</v>
      </c>
      <c r="E15">
        <v>7674981</v>
      </c>
      <c r="F15" s="3">
        <v>0.48799999999999999</v>
      </c>
      <c r="G15" s="3">
        <v>0.48799999999999999</v>
      </c>
    </row>
    <row r="16" spans="1:7" x14ac:dyDescent="0.3">
      <c r="A16" t="s">
        <v>21</v>
      </c>
      <c r="B16" s="4">
        <v>20</v>
      </c>
      <c r="C16">
        <v>14301162</v>
      </c>
      <c r="D16">
        <v>28602324</v>
      </c>
      <c r="E16">
        <v>6481637</v>
      </c>
      <c r="F16" s="3">
        <v>0.45300000000000001</v>
      </c>
      <c r="G16" s="3">
        <v>0.45319999999999999</v>
      </c>
    </row>
    <row r="17" spans="1:7" x14ac:dyDescent="0.3">
      <c r="A17" t="s">
        <v>22</v>
      </c>
      <c r="B17" s="4">
        <v>21</v>
      </c>
      <c r="C17">
        <v>15390183</v>
      </c>
      <c r="D17">
        <v>30780366</v>
      </c>
      <c r="E17">
        <v>6986660</v>
      </c>
      <c r="F17" s="3">
        <v>0.45400000000000001</v>
      </c>
      <c r="G17" s="3">
        <v>0.45400000000000001</v>
      </c>
    </row>
    <row r="18" spans="1:7" x14ac:dyDescent="0.3">
      <c r="A18" t="s">
        <v>23</v>
      </c>
      <c r="B18" s="4">
        <v>22</v>
      </c>
      <c r="C18">
        <v>15346964</v>
      </c>
      <c r="D18">
        <v>30693928</v>
      </c>
      <c r="E18">
        <v>7090364</v>
      </c>
      <c r="F18" s="3">
        <v>0.46200000000000002</v>
      </c>
      <c r="G18" s="3">
        <v>0.46200000000000002</v>
      </c>
    </row>
    <row r="19" spans="1:7" x14ac:dyDescent="0.3">
      <c r="A19" t="s">
        <v>24</v>
      </c>
      <c r="B19" s="4">
        <v>27</v>
      </c>
      <c r="C19">
        <v>15061645</v>
      </c>
      <c r="D19">
        <v>30123290</v>
      </c>
      <c r="E19">
        <v>6791594</v>
      </c>
      <c r="F19" s="3">
        <v>0.45100000000000001</v>
      </c>
      <c r="G19" s="3">
        <v>0.45090000000000002</v>
      </c>
    </row>
  </sheetData>
  <sortState xmlns:xlrd2="http://schemas.microsoft.com/office/spreadsheetml/2017/richdata2" ref="A2:G19">
    <sortCondition ref="B1:B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3DCA-EA76-4558-9FCA-896009A39B95}">
  <dimension ref="A1:K24"/>
  <sheetViews>
    <sheetView tabSelected="1" workbookViewId="0">
      <selection activeCell="L16" sqref="L16"/>
    </sheetView>
  </sheetViews>
  <sheetFormatPr defaultRowHeight="14.4" x14ac:dyDescent="0.3"/>
  <cols>
    <col min="1" max="1" width="19.109375" bestFit="1" customWidth="1"/>
    <col min="2" max="2" width="19.109375" customWidth="1"/>
    <col min="3" max="3" width="9.21875" bestFit="1" customWidth="1"/>
    <col min="4" max="4" width="9.5546875" bestFit="1" customWidth="1"/>
    <col min="5" max="5" width="13.77734375" bestFit="1" customWidth="1"/>
    <col min="6" max="9" width="12.6640625" bestFit="1" customWidth="1"/>
    <col min="10" max="10" width="12" bestFit="1" customWidth="1"/>
    <col min="11" max="12" width="17.5546875" bestFit="1" customWidth="1"/>
  </cols>
  <sheetData>
    <row r="1" spans="1:10" x14ac:dyDescent="0.3">
      <c r="A1" t="s">
        <v>0</v>
      </c>
      <c r="B1" t="s">
        <v>48</v>
      </c>
      <c r="C1" t="s">
        <v>49</v>
      </c>
      <c r="D1" t="s">
        <v>1</v>
      </c>
      <c r="E1" t="s">
        <v>44</v>
      </c>
      <c r="F1" t="s">
        <v>45</v>
      </c>
      <c r="G1" t="s">
        <v>46</v>
      </c>
      <c r="H1" t="s">
        <v>43</v>
      </c>
      <c r="I1" t="s">
        <v>29</v>
      </c>
      <c r="J1" t="s">
        <v>47</v>
      </c>
    </row>
    <row r="2" spans="1:10" x14ac:dyDescent="0.3">
      <c r="A2" t="s">
        <v>10</v>
      </c>
      <c r="B2" t="s">
        <v>51</v>
      </c>
      <c r="C2" t="s">
        <v>51</v>
      </c>
      <c r="D2">
        <v>3</v>
      </c>
      <c r="E2" s="2">
        <v>21091239</v>
      </c>
      <c r="F2" s="2">
        <v>42182478</v>
      </c>
      <c r="G2">
        <v>151</v>
      </c>
      <c r="H2" s="2">
        <f>E2*(2*151)</f>
        <v>6369554178</v>
      </c>
      <c r="I2" s="5">
        <f>H2/$K$22</f>
        <v>15.571261422719985</v>
      </c>
      <c r="J2" s="3">
        <v>0.47899999999999998</v>
      </c>
    </row>
    <row r="3" spans="1:10" x14ac:dyDescent="0.3">
      <c r="A3" t="s">
        <v>18</v>
      </c>
      <c r="B3" t="s">
        <v>51</v>
      </c>
      <c r="C3" t="s">
        <v>51</v>
      </c>
      <c r="D3">
        <v>15</v>
      </c>
      <c r="E3" s="2">
        <v>18791168</v>
      </c>
      <c r="F3" s="2">
        <v>37582336</v>
      </c>
      <c r="G3">
        <v>151</v>
      </c>
      <c r="H3" s="2">
        <f>E3*(2*151)</f>
        <v>5674932736</v>
      </c>
      <c r="I3" s="5">
        <f>H3/$K$22</f>
        <v>13.873162660868347</v>
      </c>
      <c r="J3" s="3">
        <v>0.439</v>
      </c>
    </row>
    <row r="4" spans="1:10" x14ac:dyDescent="0.3">
      <c r="A4" t="s">
        <v>23</v>
      </c>
      <c r="B4" t="s">
        <v>51</v>
      </c>
      <c r="C4" t="s">
        <v>51</v>
      </c>
      <c r="D4">
        <v>22</v>
      </c>
      <c r="E4" s="2">
        <v>15346964</v>
      </c>
      <c r="F4" s="2">
        <v>30693928</v>
      </c>
      <c r="G4">
        <v>151</v>
      </c>
      <c r="H4" s="2">
        <f>E4*(2*151)</f>
        <v>4634783128</v>
      </c>
      <c r="I4" s="5">
        <f>H4/$K$22</f>
        <v>11.33037222180605</v>
      </c>
      <c r="J4" s="3">
        <v>0.46200000000000002</v>
      </c>
    </row>
    <row r="5" spans="1:10" x14ac:dyDescent="0.3">
      <c r="A5" t="s">
        <v>24</v>
      </c>
      <c r="B5" t="s">
        <v>51</v>
      </c>
      <c r="C5" t="s">
        <v>51</v>
      </c>
      <c r="D5">
        <v>27</v>
      </c>
      <c r="E5" s="2">
        <v>15061645</v>
      </c>
      <c r="F5" s="2">
        <v>30123290</v>
      </c>
      <c r="G5">
        <v>151</v>
      </c>
      <c r="H5" s="2">
        <f>E5*(2*151)</f>
        <v>4548616790</v>
      </c>
      <c r="I5" s="5">
        <f>H5/$K$22</f>
        <v>11.119726619721266</v>
      </c>
      <c r="J5" s="3">
        <v>0.45100000000000001</v>
      </c>
    </row>
    <row r="6" spans="1:10" x14ac:dyDescent="0.3">
      <c r="A6" t="s">
        <v>14</v>
      </c>
      <c r="B6" t="s">
        <v>51</v>
      </c>
      <c r="C6" t="s">
        <v>53</v>
      </c>
      <c r="D6">
        <v>9</v>
      </c>
      <c r="E6" s="2">
        <v>19965412</v>
      </c>
      <c r="F6" s="2">
        <v>39930824</v>
      </c>
      <c r="G6">
        <v>151</v>
      </c>
      <c r="H6" s="2">
        <f>E6*(2*151)</f>
        <v>6029554424</v>
      </c>
      <c r="I6" s="5">
        <f>H6/$K$22</f>
        <v>14.740084717844725</v>
      </c>
      <c r="J6" s="3">
        <v>0.45100000000000001</v>
      </c>
    </row>
    <row r="7" spans="1:10" x14ac:dyDescent="0.3">
      <c r="A7" t="s">
        <v>16</v>
      </c>
      <c r="B7" t="s">
        <v>51</v>
      </c>
      <c r="C7" t="s">
        <v>53</v>
      </c>
      <c r="D7">
        <v>13</v>
      </c>
      <c r="E7" s="2">
        <v>19750454</v>
      </c>
      <c r="F7" s="2">
        <v>39500908</v>
      </c>
      <c r="G7">
        <v>151</v>
      </c>
      <c r="H7" s="2">
        <f>E7*(2*151)</f>
        <v>5964637108</v>
      </c>
      <c r="I7" s="5">
        <f>H7/$K$22</f>
        <v>14.581385306543899</v>
      </c>
      <c r="J7" s="3">
        <v>0.45500000000000002</v>
      </c>
    </row>
    <row r="8" spans="1:10" x14ac:dyDescent="0.3">
      <c r="A8" t="s">
        <v>19</v>
      </c>
      <c r="B8" t="s">
        <v>51</v>
      </c>
      <c r="C8" t="s">
        <v>53</v>
      </c>
      <c r="D8">
        <v>16</v>
      </c>
      <c r="E8" s="2">
        <v>17028387</v>
      </c>
      <c r="F8" s="2">
        <v>34056774</v>
      </c>
      <c r="G8">
        <v>151</v>
      </c>
      <c r="H8" s="2">
        <f>E8*(2*151)</f>
        <v>5142572874</v>
      </c>
      <c r="I8" s="5">
        <f>H8/$K$22</f>
        <v>12.571734907761773</v>
      </c>
      <c r="J8" s="3">
        <v>0.44</v>
      </c>
    </row>
    <row r="9" spans="1:10" x14ac:dyDescent="0.3">
      <c r="A9" t="s">
        <v>20</v>
      </c>
      <c r="B9" t="s">
        <v>51</v>
      </c>
      <c r="C9" t="s">
        <v>53</v>
      </c>
      <c r="D9">
        <v>17</v>
      </c>
      <c r="E9" s="2">
        <v>18404639</v>
      </c>
      <c r="F9" s="2">
        <v>36809278</v>
      </c>
      <c r="G9">
        <v>151</v>
      </c>
      <c r="H9" s="2">
        <f>E9*(2*151)</f>
        <v>5558200978</v>
      </c>
      <c r="I9" s="5">
        <f>H9/$K$22</f>
        <v>13.587795636841806</v>
      </c>
      <c r="J9" s="3">
        <v>0.48399999999999999</v>
      </c>
    </row>
    <row r="10" spans="1:10" x14ac:dyDescent="0.3">
      <c r="A10" t="s">
        <v>11</v>
      </c>
      <c r="B10" t="s">
        <v>50</v>
      </c>
      <c r="C10" t="s">
        <v>52</v>
      </c>
      <c r="D10">
        <v>6</v>
      </c>
      <c r="E10" s="2">
        <v>18588646</v>
      </c>
      <c r="F10" s="2">
        <v>37177292</v>
      </c>
      <c r="G10">
        <v>151</v>
      </c>
      <c r="H10" s="2">
        <f>E10*(2*151)</f>
        <v>5613771092</v>
      </c>
      <c r="I10" s="5">
        <f>H10/$K$22</f>
        <v>13.723644512320883</v>
      </c>
      <c r="J10" s="3">
        <v>0.44</v>
      </c>
    </row>
    <row r="11" spans="1:10" x14ac:dyDescent="0.3">
      <c r="A11" t="s">
        <v>12</v>
      </c>
      <c r="B11" t="s">
        <v>50</v>
      </c>
      <c r="C11" t="s">
        <v>52</v>
      </c>
      <c r="D11">
        <v>7</v>
      </c>
      <c r="E11" s="2">
        <v>21506980</v>
      </c>
      <c r="F11" s="2">
        <v>43013960</v>
      </c>
      <c r="G11">
        <v>151</v>
      </c>
      <c r="H11" s="2">
        <f>E11*(2*151)</f>
        <v>6495107960</v>
      </c>
      <c r="I11" s="5">
        <f>H11/$K$22</f>
        <v>15.878195111876087</v>
      </c>
      <c r="J11" s="3">
        <v>0.442</v>
      </c>
    </row>
    <row r="12" spans="1:10" x14ac:dyDescent="0.3">
      <c r="A12" t="s">
        <v>15</v>
      </c>
      <c r="B12" t="s">
        <v>50</v>
      </c>
      <c r="C12" t="s">
        <v>52</v>
      </c>
      <c r="D12">
        <v>10</v>
      </c>
      <c r="E12" s="2">
        <v>15479742</v>
      </c>
      <c r="F12" s="2">
        <v>30959484</v>
      </c>
      <c r="G12">
        <v>151</v>
      </c>
      <c r="H12" s="2">
        <f>E12*(2*151)</f>
        <v>4674882084</v>
      </c>
      <c r="I12" s="5">
        <f>H12/$K$22</f>
        <v>11.428399698958335</v>
      </c>
      <c r="J12" s="3">
        <v>0.45200000000000001</v>
      </c>
    </row>
    <row r="13" spans="1:10" x14ac:dyDescent="0.3">
      <c r="A13" t="s">
        <v>25</v>
      </c>
      <c r="B13" t="s">
        <v>50</v>
      </c>
      <c r="C13" t="s">
        <v>52</v>
      </c>
      <c r="D13">
        <v>11</v>
      </c>
      <c r="E13" s="2">
        <v>17373278</v>
      </c>
      <c r="F13" s="2">
        <v>34746556</v>
      </c>
      <c r="G13">
        <v>151</v>
      </c>
      <c r="H13" s="2">
        <f>E13*(2*151)</f>
        <v>5246729956</v>
      </c>
      <c r="I13" s="5">
        <f>H13/$K$22</f>
        <v>12.826361386715584</v>
      </c>
      <c r="J13" s="3">
        <v>0.437</v>
      </c>
    </row>
    <row r="14" spans="1:10" x14ac:dyDescent="0.3">
      <c r="A14" t="s">
        <v>26</v>
      </c>
      <c r="B14" t="s">
        <v>50</v>
      </c>
      <c r="C14" t="s">
        <v>52</v>
      </c>
      <c r="D14">
        <v>18</v>
      </c>
      <c r="E14" s="2">
        <v>15726180</v>
      </c>
      <c r="F14" s="2">
        <v>31452360</v>
      </c>
      <c r="G14">
        <v>151</v>
      </c>
      <c r="H14" s="2">
        <f>E14*(2*151)</f>
        <v>4749306360</v>
      </c>
      <c r="I14" s="5">
        <f>H14/$K$22</f>
        <v>11.61034019674001</v>
      </c>
      <c r="J14" s="3">
        <v>0.48799999999999999</v>
      </c>
    </row>
    <row r="15" spans="1:10" x14ac:dyDescent="0.3">
      <c r="A15" t="s">
        <v>27</v>
      </c>
      <c r="B15" t="s">
        <v>50</v>
      </c>
      <c r="C15" t="s">
        <v>50</v>
      </c>
      <c r="D15">
        <v>2</v>
      </c>
      <c r="E15" s="2">
        <v>21116291</v>
      </c>
      <c r="F15" s="2">
        <v>42232582</v>
      </c>
      <c r="G15">
        <v>151</v>
      </c>
      <c r="H15" s="2">
        <f>E15*(2*151)</f>
        <v>6377119882</v>
      </c>
      <c r="I15" s="5">
        <f>H15/$K$22</f>
        <v>15.589756838810144</v>
      </c>
      <c r="J15" s="3">
        <v>0.433</v>
      </c>
    </row>
    <row r="16" spans="1:10" x14ac:dyDescent="0.3">
      <c r="A16" t="s">
        <v>13</v>
      </c>
      <c r="B16" t="s">
        <v>50</v>
      </c>
      <c r="C16" t="s">
        <v>50</v>
      </c>
      <c r="D16">
        <v>8</v>
      </c>
      <c r="E16" s="2">
        <v>22030619</v>
      </c>
      <c r="F16" s="2">
        <v>44061238</v>
      </c>
      <c r="G16">
        <v>151</v>
      </c>
      <c r="H16" s="2">
        <f>E16*(2*151)</f>
        <v>6653246938</v>
      </c>
      <c r="I16" s="5">
        <f>H16/$K$22</f>
        <v>16.264787846429599</v>
      </c>
      <c r="J16" s="3">
        <v>0.48799999999999999</v>
      </c>
    </row>
    <row r="17" spans="1:11" x14ac:dyDescent="0.3">
      <c r="A17" t="s">
        <v>17</v>
      </c>
      <c r="B17" t="s">
        <v>50</v>
      </c>
      <c r="C17" t="s">
        <v>50</v>
      </c>
      <c r="D17">
        <v>14</v>
      </c>
      <c r="E17" s="2">
        <v>15803823</v>
      </c>
      <c r="F17" s="2">
        <v>31607646</v>
      </c>
      <c r="G17">
        <v>151</v>
      </c>
      <c r="H17" s="2">
        <f>E17*(2*151)</f>
        <v>4772754546</v>
      </c>
      <c r="I17" s="5">
        <f>H17/$K$22</f>
        <v>11.667662549904955</v>
      </c>
      <c r="J17" s="3">
        <v>0.44900000000000001</v>
      </c>
    </row>
    <row r="18" spans="1:11" x14ac:dyDescent="0.3">
      <c r="A18" t="s">
        <v>21</v>
      </c>
      <c r="B18" t="s">
        <v>50</v>
      </c>
      <c r="C18" t="s">
        <v>50</v>
      </c>
      <c r="D18">
        <v>20</v>
      </c>
      <c r="E18" s="2">
        <v>14301162</v>
      </c>
      <c r="F18" s="2">
        <v>28602324</v>
      </c>
      <c r="G18">
        <v>151</v>
      </c>
      <c r="H18" s="2">
        <f>E18*(2*151)</f>
        <v>4318950924</v>
      </c>
      <c r="I18" s="5">
        <f>H18/$K$22</f>
        <v>10.558276455483199</v>
      </c>
      <c r="J18" s="3">
        <v>0.45300000000000001</v>
      </c>
    </row>
    <row r="19" spans="1:11" x14ac:dyDescent="0.3">
      <c r="A19" t="s">
        <v>22</v>
      </c>
      <c r="B19" t="s">
        <v>50</v>
      </c>
      <c r="C19" t="s">
        <v>50</v>
      </c>
      <c r="D19">
        <v>21</v>
      </c>
      <c r="E19" s="2">
        <v>15390183</v>
      </c>
      <c r="F19" s="2">
        <v>30780366</v>
      </c>
      <c r="G19">
        <v>151</v>
      </c>
      <c r="H19" s="2">
        <f>E19*(2*151)</f>
        <v>4647835266</v>
      </c>
      <c r="I19" s="5">
        <f>H19/$K$22</f>
        <v>11.362279989169956</v>
      </c>
      <c r="J19" s="3">
        <v>0.45400000000000001</v>
      </c>
    </row>
    <row r="21" spans="1:11" x14ac:dyDescent="0.3">
      <c r="A21" t="s">
        <v>30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  <c r="K21" t="s">
        <v>28</v>
      </c>
    </row>
    <row r="22" spans="1:11" x14ac:dyDescent="0.3">
      <c r="A22" t="s">
        <v>4</v>
      </c>
      <c r="D22">
        <v>18</v>
      </c>
      <c r="E22" s="2">
        <f>SUM(E$2:E$19)</f>
        <v>322756812</v>
      </c>
      <c r="F22" s="2">
        <f>AVERAGE(E$2:E$19)</f>
        <v>17930934</v>
      </c>
      <c r="G22" s="2">
        <f>MEDIAN(E$2:E$19)</f>
        <v>17888958.5</v>
      </c>
      <c r="H22" s="2">
        <f>MIN(E$2:E$19)</f>
        <v>14301162</v>
      </c>
      <c r="I22" s="2">
        <f>MAX(E$2:E$19)</f>
        <v>22030619</v>
      </c>
      <c r="K22" s="2">
        <v>409058329</v>
      </c>
    </row>
    <row r="23" spans="1:11" x14ac:dyDescent="0.3">
      <c r="A23" t="s">
        <v>5</v>
      </c>
      <c r="D23">
        <v>18</v>
      </c>
      <c r="E23" s="2">
        <f>SUM(F$2:F$19)</f>
        <v>645513624</v>
      </c>
      <c r="F23" s="2">
        <f>AVERAGE(F$2:F$19)</f>
        <v>35861868</v>
      </c>
      <c r="G23" s="2">
        <f>MEDIAN(F$2:F$19)</f>
        <v>35777917</v>
      </c>
      <c r="H23" s="2">
        <f>MIN(F$2:F$19)</f>
        <v>28602324</v>
      </c>
      <c r="I23" s="2">
        <f>MAX(F$2:F$19)</f>
        <v>44061238</v>
      </c>
    </row>
    <row r="24" spans="1:11" x14ac:dyDescent="0.3">
      <c r="A24" t="s">
        <v>9</v>
      </c>
      <c r="D24">
        <v>18</v>
      </c>
      <c r="E24" s="2">
        <f>SUM(H$2:H$19)</f>
        <v>97472557224</v>
      </c>
      <c r="F24" s="2">
        <f>AVERAGE(H$2:H$19)</f>
        <v>5415142068</v>
      </c>
      <c r="G24" s="2">
        <f>MEDIAN(H$2:H$19)</f>
        <v>5402465467</v>
      </c>
      <c r="H24" s="2">
        <f>MIN(H$2:H$19)</f>
        <v>4318950924</v>
      </c>
      <c r="I24" s="2">
        <f>MAX(H$2:H$19)</f>
        <v>6653246938</v>
      </c>
    </row>
  </sheetData>
  <sortState xmlns:xlrd2="http://schemas.microsoft.com/office/spreadsheetml/2017/richdata2" ref="A2:J19">
    <sortCondition ref="B2:B19"/>
    <sortCondition ref="C2:C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BBED-7337-41CE-BAC5-7B735E117382}">
  <dimension ref="A1:J19"/>
  <sheetViews>
    <sheetView workbookViewId="0">
      <selection activeCell="K12" sqref="K12"/>
    </sheetView>
  </sheetViews>
  <sheetFormatPr defaultRowHeight="14.4" x14ac:dyDescent="0.3"/>
  <cols>
    <col min="1" max="1" width="19.109375" bestFit="1" customWidth="1"/>
    <col min="2" max="2" width="10" bestFit="1" customWidth="1"/>
    <col min="3" max="3" width="9.21875" bestFit="1" customWidth="1"/>
    <col min="10" max="10" width="12" bestFit="1" customWidth="1"/>
  </cols>
  <sheetData>
    <row r="1" spans="1:10" x14ac:dyDescent="0.3">
      <c r="A1" t="s">
        <v>0</v>
      </c>
      <c r="B1" t="s">
        <v>48</v>
      </c>
      <c r="C1" t="s">
        <v>49</v>
      </c>
      <c r="D1" t="s">
        <v>1</v>
      </c>
      <c r="E1" t="s">
        <v>44</v>
      </c>
      <c r="F1" t="s">
        <v>45</v>
      </c>
      <c r="G1" t="s">
        <v>46</v>
      </c>
      <c r="H1" t="s">
        <v>43</v>
      </c>
      <c r="I1" t="s">
        <v>29</v>
      </c>
      <c r="J1" t="s">
        <v>47</v>
      </c>
    </row>
    <row r="2" spans="1:10" x14ac:dyDescent="0.3">
      <c r="A2" t="s">
        <v>10</v>
      </c>
      <c r="B2" t="s">
        <v>51</v>
      </c>
      <c r="C2" t="s">
        <v>51</v>
      </c>
      <c r="D2">
        <v>3</v>
      </c>
      <c r="E2">
        <v>21091239</v>
      </c>
      <c r="F2">
        <v>42182478</v>
      </c>
      <c r="G2">
        <v>151</v>
      </c>
      <c r="H2">
        <v>6369554178</v>
      </c>
      <c r="I2">
        <v>15.571261422719985</v>
      </c>
      <c r="J2">
        <v>0.47899999999999998</v>
      </c>
    </row>
    <row r="3" spans="1:10" x14ac:dyDescent="0.3">
      <c r="A3" t="s">
        <v>18</v>
      </c>
      <c r="B3" t="s">
        <v>51</v>
      </c>
      <c r="C3" t="s">
        <v>51</v>
      </c>
      <c r="D3">
        <v>15</v>
      </c>
      <c r="E3">
        <v>18791168</v>
      </c>
      <c r="F3">
        <v>37582336</v>
      </c>
      <c r="G3">
        <v>151</v>
      </c>
      <c r="H3">
        <v>5674932736</v>
      </c>
      <c r="I3">
        <v>13.873162660868347</v>
      </c>
      <c r="J3">
        <v>0.439</v>
      </c>
    </row>
    <row r="4" spans="1:10" x14ac:dyDescent="0.3">
      <c r="A4" t="s">
        <v>23</v>
      </c>
      <c r="B4" t="s">
        <v>51</v>
      </c>
      <c r="C4" t="s">
        <v>51</v>
      </c>
      <c r="D4">
        <v>22</v>
      </c>
      <c r="E4">
        <v>15346964</v>
      </c>
      <c r="F4">
        <v>30693928</v>
      </c>
      <c r="G4">
        <v>151</v>
      </c>
      <c r="H4">
        <v>4634783128</v>
      </c>
      <c r="I4">
        <v>11.33037222180605</v>
      </c>
      <c r="J4">
        <v>0.46200000000000002</v>
      </c>
    </row>
    <row r="5" spans="1:10" x14ac:dyDescent="0.3">
      <c r="A5" t="s">
        <v>24</v>
      </c>
      <c r="B5" t="s">
        <v>51</v>
      </c>
      <c r="C5" t="s">
        <v>51</v>
      </c>
      <c r="D5">
        <v>27</v>
      </c>
      <c r="E5">
        <v>15061645</v>
      </c>
      <c r="F5">
        <v>30123290</v>
      </c>
      <c r="G5">
        <v>151</v>
      </c>
      <c r="H5">
        <v>4548616790</v>
      </c>
      <c r="I5">
        <v>11.119726619721266</v>
      </c>
      <c r="J5">
        <v>0.45100000000000001</v>
      </c>
    </row>
    <row r="6" spans="1:10" x14ac:dyDescent="0.3">
      <c r="A6" t="s">
        <v>14</v>
      </c>
      <c r="B6" t="s">
        <v>51</v>
      </c>
      <c r="C6" t="s">
        <v>53</v>
      </c>
      <c r="D6">
        <v>9</v>
      </c>
      <c r="E6">
        <v>19965412</v>
      </c>
      <c r="F6">
        <v>39930824</v>
      </c>
      <c r="G6">
        <v>151</v>
      </c>
      <c r="H6">
        <v>6029554424</v>
      </c>
      <c r="I6">
        <v>14.740084717844725</v>
      </c>
      <c r="J6">
        <v>0.45100000000000001</v>
      </c>
    </row>
    <row r="7" spans="1:10" x14ac:dyDescent="0.3">
      <c r="A7" t="s">
        <v>16</v>
      </c>
      <c r="B7" t="s">
        <v>51</v>
      </c>
      <c r="C7" t="s">
        <v>53</v>
      </c>
      <c r="D7">
        <v>13</v>
      </c>
      <c r="E7">
        <v>19750454</v>
      </c>
      <c r="F7">
        <v>39500908</v>
      </c>
      <c r="G7">
        <v>151</v>
      </c>
      <c r="H7">
        <v>5964637108</v>
      </c>
      <c r="I7">
        <v>14.581385306543899</v>
      </c>
      <c r="J7">
        <v>0.45500000000000002</v>
      </c>
    </row>
    <row r="8" spans="1:10" x14ac:dyDescent="0.3">
      <c r="A8" t="s">
        <v>19</v>
      </c>
      <c r="B8" t="s">
        <v>51</v>
      </c>
      <c r="C8" t="s">
        <v>53</v>
      </c>
      <c r="D8">
        <v>16</v>
      </c>
      <c r="E8">
        <v>17028387</v>
      </c>
      <c r="F8">
        <v>34056774</v>
      </c>
      <c r="G8">
        <v>151</v>
      </c>
      <c r="H8">
        <v>5142572874</v>
      </c>
      <c r="I8">
        <v>12.571734907761773</v>
      </c>
      <c r="J8">
        <v>0.44</v>
      </c>
    </row>
    <row r="9" spans="1:10" x14ac:dyDescent="0.3">
      <c r="A9" t="s">
        <v>20</v>
      </c>
      <c r="B9" t="s">
        <v>51</v>
      </c>
      <c r="C9" t="s">
        <v>53</v>
      </c>
      <c r="D9">
        <v>17</v>
      </c>
      <c r="E9">
        <v>18404639</v>
      </c>
      <c r="F9">
        <v>36809278</v>
      </c>
      <c r="G9">
        <v>151</v>
      </c>
      <c r="H9">
        <v>5558200978</v>
      </c>
      <c r="I9">
        <v>13.587795636841806</v>
      </c>
      <c r="J9">
        <v>0.48399999999999999</v>
      </c>
    </row>
    <row r="10" spans="1:10" x14ac:dyDescent="0.3">
      <c r="A10" t="s">
        <v>11</v>
      </c>
      <c r="B10" t="s">
        <v>50</v>
      </c>
      <c r="C10" t="s">
        <v>52</v>
      </c>
      <c r="D10">
        <v>6</v>
      </c>
      <c r="E10">
        <v>18588646</v>
      </c>
      <c r="F10">
        <v>37177292</v>
      </c>
      <c r="G10">
        <v>151</v>
      </c>
      <c r="H10">
        <v>5613771092</v>
      </c>
      <c r="I10">
        <v>13.723644512320883</v>
      </c>
      <c r="J10">
        <v>0.44</v>
      </c>
    </row>
    <row r="11" spans="1:10" x14ac:dyDescent="0.3">
      <c r="A11" t="s">
        <v>12</v>
      </c>
      <c r="B11" t="s">
        <v>50</v>
      </c>
      <c r="C11" t="s">
        <v>52</v>
      </c>
      <c r="D11">
        <v>7</v>
      </c>
      <c r="E11">
        <v>21506980</v>
      </c>
      <c r="F11">
        <v>43013960</v>
      </c>
      <c r="G11">
        <v>151</v>
      </c>
      <c r="H11">
        <v>6495107960</v>
      </c>
      <c r="I11">
        <v>15.878195111876087</v>
      </c>
      <c r="J11">
        <v>0.442</v>
      </c>
    </row>
    <row r="12" spans="1:10" x14ac:dyDescent="0.3">
      <c r="A12" t="s">
        <v>15</v>
      </c>
      <c r="B12" t="s">
        <v>50</v>
      </c>
      <c r="C12" t="s">
        <v>52</v>
      </c>
      <c r="D12">
        <v>10</v>
      </c>
      <c r="E12">
        <v>15479742</v>
      </c>
      <c r="F12">
        <v>30959484</v>
      </c>
      <c r="G12">
        <v>151</v>
      </c>
      <c r="H12">
        <v>4674882084</v>
      </c>
      <c r="I12">
        <v>11.428399698958335</v>
      </c>
      <c r="J12">
        <v>0.45200000000000001</v>
      </c>
    </row>
    <row r="13" spans="1:10" x14ac:dyDescent="0.3">
      <c r="A13" t="s">
        <v>25</v>
      </c>
      <c r="B13" t="s">
        <v>50</v>
      </c>
      <c r="C13" t="s">
        <v>52</v>
      </c>
      <c r="D13">
        <v>11</v>
      </c>
      <c r="E13">
        <v>17373278</v>
      </c>
      <c r="F13">
        <v>34746556</v>
      </c>
      <c r="G13">
        <v>151</v>
      </c>
      <c r="H13">
        <v>5246729956</v>
      </c>
      <c r="I13">
        <v>12.826361386715584</v>
      </c>
      <c r="J13">
        <v>0.437</v>
      </c>
    </row>
    <row r="14" spans="1:10" x14ac:dyDescent="0.3">
      <c r="A14" t="s">
        <v>26</v>
      </c>
      <c r="B14" t="s">
        <v>50</v>
      </c>
      <c r="C14" t="s">
        <v>52</v>
      </c>
      <c r="D14">
        <v>18</v>
      </c>
      <c r="E14">
        <v>15726180</v>
      </c>
      <c r="F14">
        <v>31452360</v>
      </c>
      <c r="G14">
        <v>151</v>
      </c>
      <c r="H14">
        <v>4749306360</v>
      </c>
      <c r="I14">
        <v>11.61034019674001</v>
      </c>
      <c r="J14">
        <v>0.48799999999999999</v>
      </c>
    </row>
    <row r="15" spans="1:10" x14ac:dyDescent="0.3">
      <c r="A15" t="s">
        <v>27</v>
      </c>
      <c r="B15" t="s">
        <v>50</v>
      </c>
      <c r="C15" t="s">
        <v>50</v>
      </c>
      <c r="D15">
        <v>2</v>
      </c>
      <c r="E15">
        <v>21116291</v>
      </c>
      <c r="F15">
        <v>42232582</v>
      </c>
      <c r="G15">
        <v>151</v>
      </c>
      <c r="H15">
        <v>6377119882</v>
      </c>
      <c r="I15">
        <v>15.589756838810144</v>
      </c>
      <c r="J15">
        <v>0.433</v>
      </c>
    </row>
    <row r="16" spans="1:10" x14ac:dyDescent="0.3">
      <c r="A16" t="s">
        <v>13</v>
      </c>
      <c r="B16" t="s">
        <v>50</v>
      </c>
      <c r="C16" t="s">
        <v>50</v>
      </c>
      <c r="D16">
        <v>8</v>
      </c>
      <c r="E16">
        <v>22030619</v>
      </c>
      <c r="F16">
        <v>44061238</v>
      </c>
      <c r="G16">
        <v>151</v>
      </c>
      <c r="H16">
        <v>6653246938</v>
      </c>
      <c r="I16">
        <v>16.264787846429599</v>
      </c>
      <c r="J16">
        <v>0.48799999999999999</v>
      </c>
    </row>
    <row r="17" spans="1:10" x14ac:dyDescent="0.3">
      <c r="A17" t="s">
        <v>17</v>
      </c>
      <c r="B17" t="s">
        <v>50</v>
      </c>
      <c r="C17" t="s">
        <v>50</v>
      </c>
      <c r="D17">
        <v>14</v>
      </c>
      <c r="E17">
        <v>15803823</v>
      </c>
      <c r="F17">
        <v>31607646</v>
      </c>
      <c r="G17">
        <v>151</v>
      </c>
      <c r="H17">
        <v>4772754546</v>
      </c>
      <c r="I17">
        <v>11.667662549904955</v>
      </c>
      <c r="J17">
        <v>0.44900000000000001</v>
      </c>
    </row>
    <row r="18" spans="1:10" x14ac:dyDescent="0.3">
      <c r="A18" t="s">
        <v>21</v>
      </c>
      <c r="B18" t="s">
        <v>50</v>
      </c>
      <c r="C18" t="s">
        <v>50</v>
      </c>
      <c r="D18">
        <v>20</v>
      </c>
      <c r="E18">
        <v>14301162</v>
      </c>
      <c r="F18">
        <v>28602324</v>
      </c>
      <c r="G18">
        <v>151</v>
      </c>
      <c r="H18">
        <v>4318950924</v>
      </c>
      <c r="I18">
        <v>10.558276455483199</v>
      </c>
      <c r="J18">
        <v>0.45300000000000001</v>
      </c>
    </row>
    <row r="19" spans="1:10" x14ac:dyDescent="0.3">
      <c r="A19" t="s">
        <v>22</v>
      </c>
      <c r="B19" t="s">
        <v>50</v>
      </c>
      <c r="C19" t="s">
        <v>50</v>
      </c>
      <c r="D19">
        <v>21</v>
      </c>
      <c r="E19">
        <v>15390183</v>
      </c>
      <c r="F19">
        <v>30780366</v>
      </c>
      <c r="G19">
        <v>151</v>
      </c>
      <c r="H19">
        <v>4647835266</v>
      </c>
      <c r="I19">
        <v>11.362279989169956</v>
      </c>
      <c r="J19">
        <v>0.45400000000000001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Supplementary Table</vt:lpstr>
      <vt:lpstr>Data for Figure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Gruffydd Williams</dc:creator>
  <cp:lastModifiedBy>Hamish Gruffydd Williams</cp:lastModifiedBy>
  <dcterms:created xsi:type="dcterms:W3CDTF">2026-04-22T12:13:05Z</dcterms:created>
  <dcterms:modified xsi:type="dcterms:W3CDTF">2026-04-27T09:39:45Z</dcterms:modified>
</cp:coreProperties>
</file>