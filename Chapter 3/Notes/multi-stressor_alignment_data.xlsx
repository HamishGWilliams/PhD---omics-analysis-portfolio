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80ed44706d46718/Documents/PhD/Chapter 4 - Multi-Stressor Differential Expression Analyses/"/>
    </mc:Choice>
  </mc:AlternateContent>
  <xr:revisionPtr revIDLastSave="97" documentId="14_{08297FD6-57D2-466F-B292-4975FDBE4677}" xr6:coauthVersionLast="47" xr6:coauthVersionMax="47" xr10:uidLastSave="{AE78CEAB-783B-45AF-A701-D66FBFE91FCA}"/>
  <bookViews>
    <workbookView xWindow="28680" yWindow="-120" windowWidth="29040" windowHeight="16440" activeTab="1" xr2:uid="{AD8C4FA6-7149-4F63-817D-8B953BA7AA14}"/>
  </bookViews>
  <sheets>
    <sheet name="Raw" sheetId="1" r:id="rId1"/>
    <sheet name="Analytics" sheetId="2" r:id="rId2"/>
  </sheets>
  <definedNames>
    <definedName name="_xlnm._FilterDatabase" localSheetId="1" hidden="1">Analytics!$A$1:$S$33</definedName>
    <definedName name="_xlchart.v1.0" hidden="1">Analytics!$B$2:$B$33</definedName>
    <definedName name="_xlchart.v1.1" hidden="1">Analytics!$C$1</definedName>
    <definedName name="_xlchart.v1.10" hidden="1">Analytics!$C$1</definedName>
    <definedName name="_xlchart.v1.11" hidden="1">Analytics!$C$2:$C$33</definedName>
    <definedName name="_xlchart.v1.12" hidden="1">Analytics!$B$2:$B$33</definedName>
    <definedName name="_xlchart.v1.13" hidden="1">Analytics!$C$1</definedName>
    <definedName name="_xlchart.v1.14" hidden="1">Analytics!$C$2:$C$33</definedName>
    <definedName name="_xlchart.v1.15" hidden="1">Analytics!$B$2:$B$33</definedName>
    <definedName name="_xlchart.v1.16" hidden="1">Analytics!$C$1</definedName>
    <definedName name="_xlchart.v1.17" hidden="1">Analytics!$C$2:$C$33</definedName>
    <definedName name="_xlchart.v1.18" hidden="1">Analytics!$B$2:$B$33</definedName>
    <definedName name="_xlchart.v1.19" hidden="1">Analytics!$C$1</definedName>
    <definedName name="_xlchart.v1.2" hidden="1">Analytics!$C$2:$C$33</definedName>
    <definedName name="_xlchart.v1.20" hidden="1">Analytics!$C$2:$C$33</definedName>
    <definedName name="_xlchart.v1.21" hidden="1">Analytics!$B$2:$B$33</definedName>
    <definedName name="_xlchart.v1.22" hidden="1">Analytics!$S$1</definedName>
    <definedName name="_xlchart.v1.23" hidden="1">Analytics!$S$2:$S$33</definedName>
    <definedName name="_xlchart.v1.24" hidden="1">Analytics!$B$2:$B$33</definedName>
    <definedName name="_xlchart.v1.25" hidden="1">Analytics!$C$1</definedName>
    <definedName name="_xlchart.v1.26" hidden="1">Analytics!$C$2:$C$33</definedName>
    <definedName name="_xlchart.v1.27" hidden="1">Analytics!$B$2:$B$33</definedName>
    <definedName name="_xlchart.v1.28" hidden="1">Analytics!$C$1</definedName>
    <definedName name="_xlchart.v1.29" hidden="1">Analytics!$C$2:$C$33</definedName>
    <definedName name="_xlchart.v1.3" hidden="1">Analytics!$B$2:$B$33</definedName>
    <definedName name="_xlchart.v1.4" hidden="1">Analytics!$S$1</definedName>
    <definedName name="_xlchart.v1.5" hidden="1">Analytics!$S$2:$S$33</definedName>
    <definedName name="_xlchart.v1.6" hidden="1">Analytics!$B$2:$B$33</definedName>
    <definedName name="_xlchart.v1.7" hidden="1">Analytics!$C$1</definedName>
    <definedName name="_xlchart.v1.8" hidden="1">Analytics!$C$2:$C$33</definedName>
    <definedName name="_xlchart.v1.9" hidden="1">Analytics!$B$2:$B$33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0" i="2" l="1"/>
  <c r="V9" i="2"/>
  <c r="V8" i="2"/>
  <c r="V5" i="2"/>
  <c r="V4" i="2"/>
  <c r="V3" i="2"/>
  <c r="R17" i="2"/>
  <c r="P17" i="2"/>
  <c r="N17" i="2"/>
  <c r="K17" i="2"/>
  <c r="I17" i="2"/>
  <c r="G17" i="2"/>
  <c r="E17" i="2"/>
  <c r="R9" i="2"/>
  <c r="P9" i="2"/>
  <c r="N9" i="2"/>
  <c r="K9" i="2"/>
  <c r="I9" i="2"/>
  <c r="G9" i="2"/>
  <c r="E9" i="2"/>
  <c r="R8" i="2"/>
  <c r="P8" i="2"/>
  <c r="N8" i="2"/>
  <c r="K8" i="2"/>
  <c r="I8" i="2"/>
  <c r="G8" i="2"/>
  <c r="E8" i="2"/>
  <c r="R33" i="2"/>
  <c r="P33" i="2"/>
  <c r="N33" i="2"/>
  <c r="K33" i="2"/>
  <c r="I33" i="2"/>
  <c r="G33" i="2"/>
  <c r="E33" i="2"/>
  <c r="R32" i="2"/>
  <c r="P32" i="2"/>
  <c r="N32" i="2"/>
  <c r="K32" i="2"/>
  <c r="I32" i="2"/>
  <c r="G32" i="2"/>
  <c r="E32" i="2"/>
  <c r="R25" i="2"/>
  <c r="P25" i="2"/>
  <c r="N25" i="2"/>
  <c r="K25" i="2"/>
  <c r="I25" i="2"/>
  <c r="G25" i="2"/>
  <c r="E25" i="2"/>
  <c r="R7" i="2"/>
  <c r="P7" i="2"/>
  <c r="N7" i="2"/>
  <c r="K7" i="2"/>
  <c r="I7" i="2"/>
  <c r="G7" i="2"/>
  <c r="E7" i="2"/>
  <c r="R24" i="2"/>
  <c r="P24" i="2"/>
  <c r="N24" i="2"/>
  <c r="K24" i="2"/>
  <c r="I24" i="2"/>
  <c r="G24" i="2"/>
  <c r="E24" i="2"/>
  <c r="R23" i="2"/>
  <c r="P23" i="2"/>
  <c r="N23" i="2"/>
  <c r="K23" i="2"/>
  <c r="I23" i="2"/>
  <c r="G23" i="2"/>
  <c r="E23" i="2"/>
  <c r="R22" i="2"/>
  <c r="P22" i="2"/>
  <c r="N22" i="2"/>
  <c r="K22" i="2"/>
  <c r="I22" i="2"/>
  <c r="G22" i="2"/>
  <c r="E22" i="2"/>
  <c r="R21" i="2"/>
  <c r="P21" i="2"/>
  <c r="N21" i="2"/>
  <c r="K21" i="2"/>
  <c r="I21" i="2"/>
  <c r="G21" i="2"/>
  <c r="E21" i="2"/>
  <c r="R6" i="2"/>
  <c r="P6" i="2"/>
  <c r="N6" i="2"/>
  <c r="K6" i="2"/>
  <c r="I6" i="2"/>
  <c r="G6" i="2"/>
  <c r="E6" i="2"/>
  <c r="R20" i="2"/>
  <c r="P20" i="2"/>
  <c r="N20" i="2"/>
  <c r="K20" i="2"/>
  <c r="I20" i="2"/>
  <c r="G20" i="2"/>
  <c r="E20" i="2"/>
  <c r="R31" i="2"/>
  <c r="P31" i="2"/>
  <c r="N31" i="2"/>
  <c r="K31" i="2"/>
  <c r="I31" i="2"/>
  <c r="G31" i="2"/>
  <c r="E31" i="2"/>
  <c r="R30" i="2"/>
  <c r="P30" i="2"/>
  <c r="N30" i="2"/>
  <c r="K30" i="2"/>
  <c r="I30" i="2"/>
  <c r="G30" i="2"/>
  <c r="E30" i="2"/>
  <c r="R19" i="2"/>
  <c r="P19" i="2"/>
  <c r="N19" i="2"/>
  <c r="K19" i="2"/>
  <c r="I19" i="2"/>
  <c r="G19" i="2"/>
  <c r="E19" i="2"/>
  <c r="R16" i="2"/>
  <c r="P16" i="2"/>
  <c r="N16" i="2"/>
  <c r="K16" i="2"/>
  <c r="I16" i="2"/>
  <c r="G16" i="2"/>
  <c r="E16" i="2"/>
  <c r="R5" i="2"/>
  <c r="P5" i="2"/>
  <c r="N5" i="2"/>
  <c r="K5" i="2"/>
  <c r="I5" i="2"/>
  <c r="G5" i="2"/>
  <c r="E5" i="2"/>
  <c r="R29" i="2"/>
  <c r="P29" i="2"/>
  <c r="N29" i="2"/>
  <c r="K29" i="2"/>
  <c r="I29" i="2"/>
  <c r="G29" i="2"/>
  <c r="E29" i="2"/>
  <c r="R18" i="2"/>
  <c r="P18" i="2"/>
  <c r="N18" i="2"/>
  <c r="K18" i="2"/>
  <c r="I18" i="2"/>
  <c r="G18" i="2"/>
  <c r="E18" i="2"/>
  <c r="R28" i="2"/>
  <c r="P28" i="2"/>
  <c r="N28" i="2"/>
  <c r="K28" i="2"/>
  <c r="I28" i="2"/>
  <c r="G28" i="2"/>
  <c r="E28" i="2"/>
  <c r="R4" i="2"/>
  <c r="P4" i="2"/>
  <c r="N4" i="2"/>
  <c r="K4" i="2"/>
  <c r="I4" i="2"/>
  <c r="G4" i="2"/>
  <c r="E4" i="2"/>
  <c r="R15" i="2"/>
  <c r="P15" i="2"/>
  <c r="N15" i="2"/>
  <c r="K15" i="2"/>
  <c r="I15" i="2"/>
  <c r="G15" i="2"/>
  <c r="E15" i="2"/>
  <c r="R14" i="2"/>
  <c r="P14" i="2"/>
  <c r="N14" i="2"/>
  <c r="K14" i="2"/>
  <c r="I14" i="2"/>
  <c r="G14" i="2"/>
  <c r="E14" i="2"/>
  <c r="R13" i="2"/>
  <c r="P13" i="2"/>
  <c r="N13" i="2"/>
  <c r="K13" i="2"/>
  <c r="I13" i="2"/>
  <c r="G13" i="2"/>
  <c r="E13" i="2"/>
  <c r="R3" i="2"/>
  <c r="P3" i="2"/>
  <c r="N3" i="2"/>
  <c r="K3" i="2"/>
  <c r="I3" i="2"/>
  <c r="G3" i="2"/>
  <c r="E3" i="2"/>
  <c r="R27" i="2"/>
  <c r="P27" i="2"/>
  <c r="N27" i="2"/>
  <c r="K27" i="2"/>
  <c r="I27" i="2"/>
  <c r="G27" i="2"/>
  <c r="E27" i="2"/>
  <c r="R12" i="2"/>
  <c r="P12" i="2"/>
  <c r="N12" i="2"/>
  <c r="K12" i="2"/>
  <c r="I12" i="2"/>
  <c r="G12" i="2"/>
  <c r="E12" i="2"/>
  <c r="R2" i="2"/>
  <c r="P2" i="2"/>
  <c r="N2" i="2"/>
  <c r="K2" i="2"/>
  <c r="I2" i="2"/>
  <c r="G2" i="2"/>
  <c r="E2" i="2"/>
  <c r="R11" i="2"/>
  <c r="P11" i="2"/>
  <c r="N11" i="2"/>
  <c r="K11" i="2"/>
  <c r="I11" i="2"/>
  <c r="G11" i="2"/>
  <c r="E11" i="2"/>
  <c r="R26" i="2"/>
  <c r="P26" i="2"/>
  <c r="N26" i="2"/>
  <c r="K26" i="2"/>
  <c r="I26" i="2"/>
  <c r="G26" i="2"/>
  <c r="E26" i="2"/>
  <c r="R10" i="2"/>
  <c r="P10" i="2"/>
  <c r="N10" i="2"/>
  <c r="K10" i="2"/>
  <c r="I10" i="2"/>
  <c r="G10" i="2"/>
  <c r="E10" i="2"/>
  <c r="E29" i="1"/>
  <c r="R33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30" i="1"/>
  <c r="E31" i="1"/>
  <c r="E32" i="1"/>
  <c r="E33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2" i="1"/>
  <c r="P2" i="1"/>
  <c r="N2" i="1"/>
  <c r="K2" i="1"/>
  <c r="I2" i="1"/>
  <c r="G2" i="1"/>
  <c r="E2" i="1"/>
</calcChain>
</file>

<file path=xl/sharedStrings.xml><?xml version="1.0" encoding="utf-8"?>
<sst xmlns="http://schemas.openxmlformats.org/spreadsheetml/2006/main" count="112" uniqueCount="33">
  <si>
    <t>ID</t>
  </si>
  <si>
    <t>total_reads</t>
  </si>
  <si>
    <t>con_0</t>
  </si>
  <si>
    <t>con_1</t>
  </si>
  <si>
    <t>con_more</t>
  </si>
  <si>
    <t>discon</t>
  </si>
  <si>
    <t>con_0_perc</t>
  </si>
  <si>
    <t>con_1_perc</t>
  </si>
  <si>
    <t>con_more_perc</t>
  </si>
  <si>
    <t>discon_perc</t>
  </si>
  <si>
    <t>align_0</t>
  </si>
  <si>
    <t>align_0_perc</t>
  </si>
  <si>
    <t>align_1</t>
  </si>
  <si>
    <t>align_1_perc</t>
  </si>
  <si>
    <t>align_more</t>
  </si>
  <si>
    <t>align_more_perc</t>
  </si>
  <si>
    <t>overall_align_perc</t>
  </si>
  <si>
    <t>align_pairs</t>
  </si>
  <si>
    <t>Group</t>
  </si>
  <si>
    <t>A</t>
  </si>
  <si>
    <t>B</t>
  </si>
  <si>
    <t>C</t>
  </si>
  <si>
    <t>D</t>
  </si>
  <si>
    <t>Read Range</t>
  </si>
  <si>
    <t>Low</t>
  </si>
  <si>
    <t>High</t>
  </si>
  <si>
    <t>Average</t>
  </si>
  <si>
    <t>Value</t>
  </si>
  <si>
    <t>Overall alignment percentages</t>
  </si>
  <si>
    <t>Control</t>
  </si>
  <si>
    <t>Diesel</t>
  </si>
  <si>
    <t>Salinity</t>
  </si>
  <si>
    <t>Diesel + Salinity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</si>
</sst>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</cx:f>
      </cx:strDim>
      <cx:numDim type="val">
        <cx:f>_xlchart.v1.5</cx:f>
      </cx:numDim>
    </cx:data>
  </cx:chartData>
  <cx:chart>
    <cx:plotArea>
      <cx:plotAreaRegion>
        <cx:series layoutId="boxWhisker" uniqueId="{3111CE8D-6721-4DA8-8207-15253441B46C}">
          <cx:tx>
            <cx:txData>
              <cx:f>_xlchart.v1.4</cx:f>
              <cx:v>overall_align_perc</cx:v>
            </cx:txData>
          </cx:tx>
          <cx:spPr>
            <a:solidFill>
              <a:schemeClr val="bg2">
                <a:lumMod val="75000"/>
                <a:alpha val="58000"/>
              </a:schemeClr>
            </a:solidFill>
            <a:ln>
              <a:solidFill>
                <a:schemeClr val="tx1"/>
              </a:solidFill>
            </a:ln>
          </cx:spPr>
          <cx:dataId val="0"/>
          <cx:layoutPr>
            <cx:visibility meanLine="0" meanMarker="0" nonoutliers="1" outliers="1"/>
            <cx:statistics quartileMethod="exclusive"/>
          </cx:layoutPr>
        </cx:series>
      </cx:plotAreaRegion>
      <cx:axis id="0">
        <cx:catScaling gapWidth="0.5"/>
        <cx:title>
          <cx:tx>
            <cx:txData>
              <cx:v>Treatment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Treatment</a:t>
              </a:r>
            </a:p>
          </cx:txPr>
        </cx:title>
        <cx:tickLabels/>
      </cx:axis>
      <cx:axis id="1">
        <cx:valScaling min="60"/>
        <cx:title>
          <cx:tx>
            <cx:txData>
              <cx:v>Overall Alignment Percentage (%)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Overall Alignment Percentage (%)</a:t>
              </a:r>
            </a:p>
          </cx:txPr>
        </cx:title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_xlchart.v1.15</cx:f>
      </cx:strDim>
      <cx:numDim type="val">
        <cx:f>_xlchart.v1.17</cx:f>
      </cx:numDim>
    </cx:data>
  </cx:chartData>
  <cx:chart>
    <cx:plotArea>
      <cx:plotAreaRegion>
        <cx:series layoutId="boxWhisker" uniqueId="{C6CFD757-1A84-4DBD-845E-39A2B5120ACF}">
          <cx:tx>
            <cx:txData>
              <cx:f>_xlchart.v1.16</cx:f>
              <cx:v>total_reads</cx:v>
            </cx:txData>
          </cx:tx>
          <cx:spPr>
            <a:solidFill>
              <a:schemeClr val="bg2">
                <a:lumMod val="75000"/>
                <a:alpha val="50000"/>
              </a:schemeClr>
            </a:solidFill>
            <a:ln>
              <a:solidFill>
                <a:schemeClr val="tx1"/>
              </a:solidFill>
            </a:ln>
          </cx:spPr>
          <cx:dataId val="0"/>
          <cx:layoutPr>
            <cx:visibility meanLine="0" meanMarker="0" nonoutliers="1" outliers="1"/>
            <cx:statistics quartileMethod="exclusive"/>
          </cx:layoutPr>
        </cx:series>
      </cx:plotAreaRegion>
      <cx:axis id="0">
        <cx:catScaling gapWidth="0.5"/>
        <cx:title>
          <cx:tx>
            <cx:txData>
              <cx:v>Treatment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Treatment</a:t>
              </a:r>
            </a:p>
          </cx:txPr>
        </cx:title>
        <cx:tickLabels/>
      </cx:axis>
      <cx:axis id="1">
        <cx:valScaling max="60000000" min="35000000"/>
        <cx:title>
          <cx:tx>
            <cx:txData>
              <cx:v>Count of Reads (millions)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Count of Reads (millions)</a:t>
              </a:r>
            </a:p>
          </cx:txPr>
        </cx:title>
        <cx:units unit="millions"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395287</xdr:colOff>
      <xdr:row>26</xdr:row>
      <xdr:rowOff>161925</xdr:rowOff>
    </xdr:from>
    <xdr:to>
      <xdr:col>25</xdr:col>
      <xdr:colOff>33337</xdr:colOff>
      <xdr:row>37</xdr:row>
      <xdr:rowOff>180975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79597BEA-7546-4236-B96A-8D1B9B1568D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768387" y="5114925"/>
              <a:ext cx="4572000" cy="21145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25</xdr:col>
      <xdr:colOff>23812</xdr:colOff>
      <xdr:row>26</xdr:row>
      <xdr:rowOff>133350</xdr:rowOff>
    </xdr:from>
    <xdr:to>
      <xdr:col>32</xdr:col>
      <xdr:colOff>328612</xdr:colOff>
      <xdr:row>36</xdr:row>
      <xdr:rowOff>76200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190567DC-6330-2FC8-73D8-61DE16499B2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330862" y="5086350"/>
              <a:ext cx="4572000" cy="18478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A8509-DE14-4408-A515-D7EF00158814}">
  <dimension ref="A1:S33"/>
  <sheetViews>
    <sheetView zoomScale="85" zoomScaleNormal="85" workbookViewId="0">
      <selection sqref="A1:S33"/>
    </sheetView>
  </sheetViews>
  <sheetFormatPr defaultRowHeight="15" x14ac:dyDescent="0.25"/>
  <cols>
    <col min="1" max="1" width="5.28515625" customWidth="1"/>
    <col min="3" max="3" width="9.85546875" bestFit="1" customWidth="1"/>
    <col min="4" max="4" width="9.28515625" bestFit="1" customWidth="1"/>
    <col min="5" max="5" width="10.28515625" style="1" bestFit="1" customWidth="1"/>
    <col min="6" max="6" width="9" bestFit="1" customWidth="1"/>
    <col min="7" max="7" width="10.28515625" style="1" bestFit="1" customWidth="1"/>
    <col min="8" max="8" width="9" bestFit="1" customWidth="1"/>
    <col min="9" max="9" width="13.5703125" style="1" bestFit="1" customWidth="1"/>
    <col min="10" max="10" width="7" bestFit="1" customWidth="1"/>
    <col min="11" max="11" width="10.7109375" style="1" bestFit="1" customWidth="1"/>
    <col min="12" max="12" width="9.5703125" bestFit="1" customWidth="1"/>
    <col min="13" max="13" width="9" bestFit="1" customWidth="1"/>
    <col min="14" max="14" width="11" style="1" bestFit="1" customWidth="1"/>
    <col min="15" max="15" width="9" bestFit="1" customWidth="1"/>
    <col min="16" max="16" width="11" style="1" bestFit="1" customWidth="1"/>
    <col min="17" max="17" width="9.7109375" bestFit="1" customWidth="1"/>
    <col min="18" max="18" width="14.28515625" style="1" bestFit="1" customWidth="1"/>
    <col min="19" max="19" width="15.42578125" bestFit="1" customWidth="1"/>
  </cols>
  <sheetData>
    <row r="1" spans="1:19" x14ac:dyDescent="0.25">
      <c r="A1" t="s">
        <v>0</v>
      </c>
      <c r="B1" t="s">
        <v>18</v>
      </c>
      <c r="C1" t="s">
        <v>1</v>
      </c>
      <c r="D1" t="s">
        <v>2</v>
      </c>
      <c r="E1" s="1" t="s">
        <v>6</v>
      </c>
      <c r="F1" t="s">
        <v>3</v>
      </c>
      <c r="G1" s="1" t="s">
        <v>7</v>
      </c>
      <c r="H1" t="s">
        <v>4</v>
      </c>
      <c r="I1" s="1" t="s">
        <v>8</v>
      </c>
      <c r="J1" t="s">
        <v>5</v>
      </c>
      <c r="K1" s="1" t="s">
        <v>9</v>
      </c>
      <c r="L1" t="s">
        <v>17</v>
      </c>
      <c r="M1" t="s">
        <v>10</v>
      </c>
      <c r="N1" s="1" t="s">
        <v>11</v>
      </c>
      <c r="O1" t="s">
        <v>12</v>
      </c>
      <c r="P1" s="1" t="s">
        <v>13</v>
      </c>
      <c r="Q1" t="s">
        <v>14</v>
      </c>
      <c r="R1" s="1" t="s">
        <v>15</v>
      </c>
      <c r="S1" t="s">
        <v>16</v>
      </c>
    </row>
    <row r="2" spans="1:19" x14ac:dyDescent="0.25">
      <c r="A2">
        <v>1</v>
      </c>
      <c r="B2" t="s">
        <v>20</v>
      </c>
      <c r="C2">
        <v>53069714</v>
      </c>
      <c r="D2">
        <v>21346149</v>
      </c>
      <c r="E2" s="1">
        <f t="shared" ref="E2:E33" si="0">SUM($D2/$C2)*100</f>
        <v>40.222845369017818</v>
      </c>
      <c r="F2">
        <v>29923075</v>
      </c>
      <c r="G2" s="1">
        <f t="shared" ref="G2:G33" si="1">SUM($F2/$C2)*100</f>
        <v>56.384466289002418</v>
      </c>
      <c r="H2">
        <v>1800490</v>
      </c>
      <c r="I2" s="1">
        <f t="shared" ref="I2:I33" si="2">SUM($H2/$C2)*100</f>
        <v>3.3926883419797589</v>
      </c>
      <c r="J2">
        <v>298544</v>
      </c>
      <c r="K2" s="1">
        <f t="shared" ref="K2:K33" si="3">SUM($J2/$D2)*100</f>
        <v>1.3985848220210586</v>
      </c>
      <c r="L2">
        <v>42095210</v>
      </c>
      <c r="M2">
        <v>33579123</v>
      </c>
      <c r="N2" s="1">
        <f t="shared" ref="N2:N33" si="4">SUM($M2/$L2)*100</f>
        <v>79.769463081428981</v>
      </c>
      <c r="O2">
        <v>7921304</v>
      </c>
      <c r="P2" s="1">
        <f t="shared" ref="P2:P33" si="5">SUM($O2/$L2)*100</f>
        <v>18.817589934816812</v>
      </c>
      <c r="Q2">
        <v>594783</v>
      </c>
      <c r="R2" s="1">
        <f t="shared" ref="R2:R33" si="6">SUM($Q2/$L2)*100</f>
        <v>1.4129469837542086</v>
      </c>
      <c r="S2">
        <v>68.36</v>
      </c>
    </row>
    <row r="3" spans="1:19" x14ac:dyDescent="0.25">
      <c r="A3">
        <v>2</v>
      </c>
      <c r="B3" t="s">
        <v>22</v>
      </c>
      <c r="C3">
        <v>46516230</v>
      </c>
      <c r="D3">
        <v>10423511</v>
      </c>
      <c r="E3" s="1">
        <f t="shared" si="0"/>
        <v>22.408331457643925</v>
      </c>
      <c r="F3">
        <v>33981759</v>
      </c>
      <c r="G3" s="1">
        <f t="shared" si="1"/>
        <v>73.053553566142398</v>
      </c>
      <c r="H3">
        <v>2110960</v>
      </c>
      <c r="I3" s="1">
        <f t="shared" si="2"/>
        <v>4.538114976213679</v>
      </c>
      <c r="J3">
        <v>304824</v>
      </c>
      <c r="K3" s="1">
        <f t="shared" si="3"/>
        <v>2.9243889127185652</v>
      </c>
      <c r="L3">
        <v>20237374</v>
      </c>
      <c r="M3">
        <v>14428317</v>
      </c>
      <c r="N3" s="1">
        <f t="shared" si="4"/>
        <v>71.295401270935642</v>
      </c>
      <c r="O3">
        <v>5319569</v>
      </c>
      <c r="P3" s="1">
        <f t="shared" si="5"/>
        <v>26.285865942883696</v>
      </c>
      <c r="Q3">
        <v>489488</v>
      </c>
      <c r="R3" s="1">
        <f t="shared" si="6"/>
        <v>2.4187327861806573</v>
      </c>
      <c r="S3">
        <v>84.49</v>
      </c>
    </row>
    <row r="4" spans="1:19" x14ac:dyDescent="0.25">
      <c r="A4">
        <v>4</v>
      </c>
      <c r="B4" t="s">
        <v>20</v>
      </c>
      <c r="C4">
        <v>53497354</v>
      </c>
      <c r="D4">
        <v>16247025</v>
      </c>
      <c r="E4" s="1">
        <f t="shared" si="0"/>
        <v>30.369773054570139</v>
      </c>
      <c r="F4">
        <v>35134550</v>
      </c>
      <c r="G4" s="1">
        <f t="shared" si="1"/>
        <v>65.675304240280738</v>
      </c>
      <c r="H4">
        <v>2115779</v>
      </c>
      <c r="I4" s="1">
        <f t="shared" si="2"/>
        <v>3.9549227051491185</v>
      </c>
      <c r="J4">
        <v>323540</v>
      </c>
      <c r="K4" s="1">
        <f t="shared" si="3"/>
        <v>1.991379960331199</v>
      </c>
      <c r="L4">
        <v>31846970</v>
      </c>
      <c r="M4">
        <v>25240806</v>
      </c>
      <c r="N4" s="1">
        <f t="shared" si="4"/>
        <v>79.256538377120336</v>
      </c>
      <c r="O4">
        <v>6030174</v>
      </c>
      <c r="P4" s="1">
        <f t="shared" si="5"/>
        <v>18.934843722966423</v>
      </c>
      <c r="Q4">
        <v>575990</v>
      </c>
      <c r="R4" s="1">
        <f t="shared" si="6"/>
        <v>1.8086178999132414</v>
      </c>
      <c r="S4">
        <v>76.41</v>
      </c>
    </row>
    <row r="5" spans="1:19" x14ac:dyDescent="0.25">
      <c r="A5">
        <v>5</v>
      </c>
      <c r="B5" t="s">
        <v>19</v>
      </c>
      <c r="C5">
        <v>44679810</v>
      </c>
      <c r="D5">
        <v>15376037</v>
      </c>
      <c r="E5" s="1">
        <f t="shared" si="0"/>
        <v>34.413837032879059</v>
      </c>
      <c r="F5">
        <v>27480864</v>
      </c>
      <c r="G5" s="1">
        <f t="shared" si="1"/>
        <v>61.506223952160944</v>
      </c>
      <c r="H5">
        <v>1822909</v>
      </c>
      <c r="I5" s="1">
        <f t="shared" si="2"/>
        <v>4.0799390149600008</v>
      </c>
      <c r="J5">
        <v>246166</v>
      </c>
      <c r="K5" s="1">
        <f t="shared" si="3"/>
        <v>1.600971693811611</v>
      </c>
      <c r="L5">
        <v>30259742</v>
      </c>
      <c r="M5">
        <v>24686410</v>
      </c>
      <c r="N5" s="1">
        <f t="shared" si="4"/>
        <v>81.581693591439091</v>
      </c>
      <c r="O5">
        <v>5139977</v>
      </c>
      <c r="P5" s="1">
        <f t="shared" si="5"/>
        <v>16.986189108948782</v>
      </c>
      <c r="Q5">
        <v>433355</v>
      </c>
      <c r="R5" s="1">
        <f t="shared" si="6"/>
        <v>1.4321172996121381</v>
      </c>
      <c r="S5">
        <v>72.37</v>
      </c>
    </row>
    <row r="6" spans="1:19" x14ac:dyDescent="0.25">
      <c r="A6">
        <v>6</v>
      </c>
      <c r="B6" t="s">
        <v>20</v>
      </c>
      <c r="C6">
        <v>37097643</v>
      </c>
      <c r="D6">
        <v>12590845</v>
      </c>
      <c r="E6" s="1">
        <f t="shared" si="0"/>
        <v>33.939743826851746</v>
      </c>
      <c r="F6">
        <v>23328040</v>
      </c>
      <c r="G6" s="1">
        <f t="shared" si="1"/>
        <v>62.8828090237431</v>
      </c>
      <c r="H6">
        <v>1178758</v>
      </c>
      <c r="I6" s="1">
        <f t="shared" si="2"/>
        <v>3.1774471494051522</v>
      </c>
      <c r="J6">
        <v>219558</v>
      </c>
      <c r="K6" s="1">
        <f t="shared" si="3"/>
        <v>1.7437908257944563</v>
      </c>
      <c r="L6">
        <v>24742574</v>
      </c>
      <c r="M6">
        <v>19679845</v>
      </c>
      <c r="N6" s="1">
        <f t="shared" si="4"/>
        <v>79.538389983192531</v>
      </c>
      <c r="O6">
        <v>4718260</v>
      </c>
      <c r="P6" s="1">
        <f t="shared" si="5"/>
        <v>19.069398357664809</v>
      </c>
      <c r="Q6">
        <v>344469</v>
      </c>
      <c r="R6" s="1">
        <f t="shared" si="6"/>
        <v>1.3922116591426583</v>
      </c>
      <c r="S6">
        <v>73.48</v>
      </c>
    </row>
    <row r="7" spans="1:19" x14ac:dyDescent="0.25">
      <c r="A7">
        <v>7</v>
      </c>
      <c r="B7" t="s">
        <v>22</v>
      </c>
      <c r="C7">
        <v>46711484</v>
      </c>
      <c r="D7">
        <v>14240488</v>
      </c>
      <c r="E7" s="1">
        <f t="shared" si="0"/>
        <v>30.486053493826059</v>
      </c>
      <c r="F7">
        <v>30548951</v>
      </c>
      <c r="G7" s="1">
        <f t="shared" si="1"/>
        <v>65.399230304907462</v>
      </c>
      <c r="H7">
        <v>1922045</v>
      </c>
      <c r="I7" s="1">
        <f t="shared" si="2"/>
        <v>4.1147162012664804</v>
      </c>
      <c r="J7">
        <v>283871</v>
      </c>
      <c r="K7" s="1">
        <f t="shared" si="3"/>
        <v>1.993407810181786</v>
      </c>
      <c r="L7">
        <v>27913234</v>
      </c>
      <c r="M7">
        <v>21838929</v>
      </c>
      <c r="N7" s="1">
        <f t="shared" si="4"/>
        <v>78.238619717084731</v>
      </c>
      <c r="O7">
        <v>5602898</v>
      </c>
      <c r="P7" s="1">
        <f t="shared" si="5"/>
        <v>20.072550532840445</v>
      </c>
      <c r="Q7">
        <v>471407</v>
      </c>
      <c r="R7" s="1">
        <f t="shared" si="6"/>
        <v>1.6888297500748211</v>
      </c>
      <c r="S7">
        <v>76.62</v>
      </c>
    </row>
    <row r="8" spans="1:19" x14ac:dyDescent="0.25">
      <c r="A8">
        <v>8</v>
      </c>
      <c r="B8" t="s">
        <v>19</v>
      </c>
      <c r="C8">
        <v>48581417</v>
      </c>
      <c r="D8">
        <v>14451938</v>
      </c>
      <c r="E8" s="1">
        <f t="shared" si="0"/>
        <v>29.747872525002716</v>
      </c>
      <c r="F8">
        <v>32503249</v>
      </c>
      <c r="G8" s="1">
        <f t="shared" si="1"/>
        <v>66.904695266504888</v>
      </c>
      <c r="H8">
        <v>1626230</v>
      </c>
      <c r="I8" s="1">
        <f t="shared" si="2"/>
        <v>3.3474322084923949</v>
      </c>
      <c r="J8">
        <v>305688</v>
      </c>
      <c r="K8" s="1">
        <f t="shared" si="3"/>
        <v>2.1152042030625928</v>
      </c>
      <c r="L8">
        <v>28292500</v>
      </c>
      <c r="M8">
        <v>22134929</v>
      </c>
      <c r="N8" s="1">
        <f t="shared" si="4"/>
        <v>78.236030750198822</v>
      </c>
      <c r="O8">
        <v>5702848</v>
      </c>
      <c r="P8" s="1">
        <f t="shared" si="5"/>
        <v>20.156748254837854</v>
      </c>
      <c r="Q8">
        <v>454723</v>
      </c>
      <c r="R8" s="1">
        <f t="shared" si="6"/>
        <v>1.6072209949633296</v>
      </c>
      <c r="S8">
        <v>77.22</v>
      </c>
    </row>
    <row r="9" spans="1:19" x14ac:dyDescent="0.25">
      <c r="A9">
        <v>9</v>
      </c>
      <c r="B9" t="s">
        <v>20</v>
      </c>
      <c r="C9">
        <v>40564212</v>
      </c>
      <c r="D9">
        <v>11589956</v>
      </c>
      <c r="E9" s="1">
        <f t="shared" si="0"/>
        <v>28.571875129732582</v>
      </c>
      <c r="F9">
        <v>27362299</v>
      </c>
      <c r="G9" s="1">
        <f t="shared" si="1"/>
        <v>67.454284579717708</v>
      </c>
      <c r="H9">
        <v>1611957</v>
      </c>
      <c r="I9" s="1">
        <f t="shared" si="2"/>
        <v>3.9738402905497092</v>
      </c>
      <c r="J9">
        <v>235948</v>
      </c>
      <c r="K9" s="1">
        <f t="shared" si="3"/>
        <v>2.0357972023362296</v>
      </c>
      <c r="L9">
        <v>22708016</v>
      </c>
      <c r="M9">
        <v>17534491</v>
      </c>
      <c r="N9" s="1">
        <f t="shared" si="4"/>
        <v>77.217186213009541</v>
      </c>
      <c r="O9">
        <v>4713341</v>
      </c>
      <c r="P9" s="1">
        <f t="shared" si="5"/>
        <v>20.756287119050825</v>
      </c>
      <c r="Q9">
        <v>460184</v>
      </c>
      <c r="R9" s="1">
        <f t="shared" si="6"/>
        <v>2.0265266679396388</v>
      </c>
      <c r="S9">
        <v>78.39</v>
      </c>
    </row>
    <row r="10" spans="1:19" ht="10.9" customHeight="1" x14ac:dyDescent="0.25">
      <c r="A10">
        <v>10</v>
      </c>
      <c r="B10" t="s">
        <v>20</v>
      </c>
      <c r="C10">
        <v>48311972</v>
      </c>
      <c r="D10">
        <v>15285693</v>
      </c>
      <c r="E10" s="1">
        <f t="shared" si="0"/>
        <v>31.639555098268396</v>
      </c>
      <c r="F10">
        <v>31402389</v>
      </c>
      <c r="G10" s="1">
        <f t="shared" si="1"/>
        <v>64.999186951010813</v>
      </c>
      <c r="H10">
        <v>1623890</v>
      </c>
      <c r="I10" s="1">
        <f t="shared" si="2"/>
        <v>3.3612579507207863</v>
      </c>
      <c r="J10">
        <v>289858</v>
      </c>
      <c r="K10" s="1">
        <f t="shared" si="3"/>
        <v>1.8962699303198094</v>
      </c>
      <c r="L10">
        <v>29991670</v>
      </c>
      <c r="M10">
        <v>23528629</v>
      </c>
      <c r="N10" s="1">
        <f t="shared" si="4"/>
        <v>78.450546435060133</v>
      </c>
      <c r="O10">
        <v>5967752</v>
      </c>
      <c r="P10" s="1">
        <f t="shared" si="5"/>
        <v>19.898031686798369</v>
      </c>
      <c r="Q10">
        <v>495289</v>
      </c>
      <c r="R10" s="1">
        <f t="shared" si="6"/>
        <v>1.6514218781414971</v>
      </c>
      <c r="S10">
        <v>75.650000000000006</v>
      </c>
    </row>
    <row r="11" spans="1:19" x14ac:dyDescent="0.25">
      <c r="A11">
        <v>11</v>
      </c>
      <c r="B11" t="s">
        <v>20</v>
      </c>
      <c r="C11">
        <v>41904774</v>
      </c>
      <c r="D11">
        <v>14603413</v>
      </c>
      <c r="E11" s="1">
        <f t="shared" si="0"/>
        <v>34.849043691298753</v>
      </c>
      <c r="F11">
        <v>25851112</v>
      </c>
      <c r="G11" s="1">
        <f t="shared" si="1"/>
        <v>61.69013583034716</v>
      </c>
      <c r="H11">
        <v>1450249</v>
      </c>
      <c r="I11" s="1">
        <f t="shared" si="2"/>
        <v>3.4608204783540897</v>
      </c>
      <c r="J11">
        <v>231558</v>
      </c>
      <c r="K11" s="1">
        <f t="shared" si="3"/>
        <v>1.5856430274210556</v>
      </c>
      <c r="L11">
        <v>28743710</v>
      </c>
      <c r="M11">
        <v>22961541</v>
      </c>
      <c r="N11" s="1">
        <f t="shared" si="4"/>
        <v>79.883706730968271</v>
      </c>
      <c r="O11">
        <v>5381924</v>
      </c>
      <c r="P11" s="1">
        <f t="shared" si="5"/>
        <v>18.723832101005751</v>
      </c>
      <c r="Q11">
        <v>400245</v>
      </c>
      <c r="R11" s="1">
        <f t="shared" si="6"/>
        <v>1.3924611680259786</v>
      </c>
      <c r="S11">
        <v>72.599999999999994</v>
      </c>
    </row>
    <row r="12" spans="1:19" x14ac:dyDescent="0.25">
      <c r="A12">
        <v>12</v>
      </c>
      <c r="B12" t="s">
        <v>19</v>
      </c>
      <c r="C12">
        <v>47265837</v>
      </c>
      <c r="D12">
        <v>14501386</v>
      </c>
      <c r="E12" s="1">
        <f t="shared" si="0"/>
        <v>30.680480703219114</v>
      </c>
      <c r="F12">
        <v>31144898</v>
      </c>
      <c r="G12" s="1">
        <f t="shared" si="1"/>
        <v>65.89304236800038</v>
      </c>
      <c r="H12">
        <v>1619553</v>
      </c>
      <c r="I12" s="1">
        <f t="shared" si="2"/>
        <v>3.4264769287805059</v>
      </c>
      <c r="J12">
        <v>299233</v>
      </c>
      <c r="K12" s="1">
        <f t="shared" si="3"/>
        <v>2.0634786219744785</v>
      </c>
      <c r="L12">
        <v>28404306</v>
      </c>
      <c r="M12">
        <v>22190235</v>
      </c>
      <c r="N12" s="1">
        <f t="shared" si="4"/>
        <v>78.12278532698528</v>
      </c>
      <c r="O12">
        <v>5738114</v>
      </c>
      <c r="P12" s="1">
        <f t="shared" si="5"/>
        <v>20.201563805149824</v>
      </c>
      <c r="Q12">
        <v>475957</v>
      </c>
      <c r="R12" s="1">
        <f t="shared" si="6"/>
        <v>1.6756508678648936</v>
      </c>
      <c r="S12">
        <v>76.53</v>
      </c>
    </row>
    <row r="13" spans="1:19" x14ac:dyDescent="0.25">
      <c r="A13">
        <v>13</v>
      </c>
      <c r="B13" t="s">
        <v>22</v>
      </c>
      <c r="C13">
        <v>44201639</v>
      </c>
      <c r="D13">
        <v>17650067</v>
      </c>
      <c r="E13" s="1">
        <f t="shared" si="0"/>
        <v>39.930797588750046</v>
      </c>
      <c r="F13">
        <v>24696436</v>
      </c>
      <c r="G13" s="1">
        <f t="shared" si="1"/>
        <v>55.872217770024321</v>
      </c>
      <c r="H13">
        <v>1855136</v>
      </c>
      <c r="I13" s="1">
        <f t="shared" si="2"/>
        <v>4.1969846412256349</v>
      </c>
      <c r="J13">
        <v>232970</v>
      </c>
      <c r="K13" s="1">
        <f t="shared" si="3"/>
        <v>1.3199383322454243</v>
      </c>
      <c r="L13">
        <v>34834194</v>
      </c>
      <c r="M13">
        <v>28193471</v>
      </c>
      <c r="N13" s="1">
        <f t="shared" si="4"/>
        <v>80.93619447603696</v>
      </c>
      <c r="O13">
        <v>6087154</v>
      </c>
      <c r="P13" s="1">
        <f t="shared" si="5"/>
        <v>17.474651487558461</v>
      </c>
      <c r="Q13">
        <v>553569</v>
      </c>
      <c r="R13" s="1">
        <f t="shared" si="6"/>
        <v>1.589154036404574</v>
      </c>
      <c r="S13">
        <v>68.11</v>
      </c>
    </row>
    <row r="14" spans="1:19" x14ac:dyDescent="0.25">
      <c r="A14">
        <v>14</v>
      </c>
      <c r="B14" t="s">
        <v>21</v>
      </c>
      <c r="C14">
        <v>39786878</v>
      </c>
      <c r="D14">
        <v>12285293</v>
      </c>
      <c r="E14" s="1">
        <f t="shared" si="0"/>
        <v>30.877750699615085</v>
      </c>
      <c r="F14">
        <v>25920753</v>
      </c>
      <c r="G14" s="1">
        <f t="shared" si="1"/>
        <v>65.148999627465116</v>
      </c>
      <c r="H14">
        <v>1580832</v>
      </c>
      <c r="I14" s="1">
        <f t="shared" si="2"/>
        <v>3.9732496729198008</v>
      </c>
      <c r="J14">
        <v>220039</v>
      </c>
      <c r="K14" s="1">
        <f t="shared" si="3"/>
        <v>1.7910765335429932</v>
      </c>
      <c r="L14">
        <v>24130508</v>
      </c>
      <c r="M14">
        <v>19266568</v>
      </c>
      <c r="N14" s="1">
        <f t="shared" si="4"/>
        <v>79.843192692006312</v>
      </c>
      <c r="O14">
        <v>4400131</v>
      </c>
      <c r="P14" s="1">
        <f t="shared" si="5"/>
        <v>18.234721788700014</v>
      </c>
      <c r="Q14">
        <v>463809</v>
      </c>
      <c r="R14" s="1">
        <f t="shared" si="6"/>
        <v>1.9220855192936677</v>
      </c>
      <c r="S14">
        <v>75.790000000000006</v>
      </c>
    </row>
    <row r="15" spans="1:19" x14ac:dyDescent="0.25">
      <c r="A15">
        <v>15</v>
      </c>
      <c r="B15" t="s">
        <v>22</v>
      </c>
      <c r="C15">
        <v>43488345</v>
      </c>
      <c r="D15">
        <v>13169136</v>
      </c>
      <c r="E15" s="1">
        <f t="shared" si="0"/>
        <v>30.281989346800849</v>
      </c>
      <c r="F15">
        <v>28576339</v>
      </c>
      <c r="G15" s="1">
        <f t="shared" si="1"/>
        <v>65.710339172484026</v>
      </c>
      <c r="H15">
        <v>1742870</v>
      </c>
      <c r="I15" s="1">
        <f t="shared" si="2"/>
        <v>4.0076714807151204</v>
      </c>
      <c r="J15">
        <v>261631</v>
      </c>
      <c r="K15" s="1">
        <f t="shared" si="3"/>
        <v>1.9866982921278964</v>
      </c>
      <c r="L15">
        <v>25815010</v>
      </c>
      <c r="M15">
        <v>20097918</v>
      </c>
      <c r="N15" s="1">
        <f t="shared" si="4"/>
        <v>77.853613072394694</v>
      </c>
      <c r="O15">
        <v>5267071</v>
      </c>
      <c r="P15" s="1">
        <f t="shared" si="5"/>
        <v>20.40313368075395</v>
      </c>
      <c r="Q15">
        <v>450021</v>
      </c>
      <c r="R15" s="1">
        <f t="shared" si="6"/>
        <v>1.7432532468513471</v>
      </c>
      <c r="S15">
        <v>76.89</v>
      </c>
    </row>
    <row r="16" spans="1:19" x14ac:dyDescent="0.25">
      <c r="A16">
        <v>16</v>
      </c>
      <c r="B16" t="s">
        <v>19</v>
      </c>
      <c r="C16">
        <v>44196125</v>
      </c>
      <c r="D16">
        <v>14270822</v>
      </c>
      <c r="E16" s="1">
        <f t="shared" si="0"/>
        <v>32.289758434704403</v>
      </c>
      <c r="F16">
        <v>28418349</v>
      </c>
      <c r="G16" s="1">
        <f t="shared" si="1"/>
        <v>64.300544448184098</v>
      </c>
      <c r="H16">
        <v>1506954</v>
      </c>
      <c r="I16" s="1">
        <f t="shared" si="2"/>
        <v>3.4096971171115111</v>
      </c>
      <c r="J16">
        <v>231404</v>
      </c>
      <c r="K16" s="1">
        <f t="shared" si="3"/>
        <v>1.6215183680379448</v>
      </c>
      <c r="L16">
        <v>28078836</v>
      </c>
      <c r="M16">
        <v>22091143</v>
      </c>
      <c r="N16" s="1">
        <f t="shared" si="4"/>
        <v>78.675423012549388</v>
      </c>
      <c r="O16">
        <v>5493408</v>
      </c>
      <c r="P16" s="1">
        <f t="shared" si="5"/>
        <v>19.564229799269455</v>
      </c>
      <c r="Q16">
        <v>494285</v>
      </c>
      <c r="R16" s="1">
        <f t="shared" si="6"/>
        <v>1.7603471881811625</v>
      </c>
      <c r="S16">
        <v>75.010000000000005</v>
      </c>
    </row>
    <row r="17" spans="1:19" x14ac:dyDescent="0.25">
      <c r="A17">
        <v>17</v>
      </c>
      <c r="B17" t="s">
        <v>20</v>
      </c>
      <c r="C17">
        <v>48674328</v>
      </c>
      <c r="D17">
        <v>14965537</v>
      </c>
      <c r="E17" s="1">
        <f t="shared" si="0"/>
        <v>30.746263204702078</v>
      </c>
      <c r="F17">
        <v>31960050</v>
      </c>
      <c r="G17" s="1">
        <f t="shared" si="1"/>
        <v>65.660998956164335</v>
      </c>
      <c r="H17">
        <v>1748741</v>
      </c>
      <c r="I17" s="1">
        <f t="shared" si="2"/>
        <v>3.5927378391335982</v>
      </c>
      <c r="J17">
        <v>292309</v>
      </c>
      <c r="K17" s="1">
        <f t="shared" si="3"/>
        <v>1.9532142414936398</v>
      </c>
      <c r="L17">
        <v>29346456</v>
      </c>
      <c r="M17">
        <v>23560360</v>
      </c>
      <c r="N17" s="1">
        <f t="shared" si="4"/>
        <v>80.283493175462141</v>
      </c>
      <c r="O17">
        <v>5336930</v>
      </c>
      <c r="P17" s="1">
        <f t="shared" si="5"/>
        <v>18.18594381549854</v>
      </c>
      <c r="Q17">
        <v>449166</v>
      </c>
      <c r="R17" s="1">
        <f t="shared" si="6"/>
        <v>1.5305630090393196</v>
      </c>
      <c r="S17">
        <v>75.8</v>
      </c>
    </row>
    <row r="18" spans="1:19" x14ac:dyDescent="0.25">
      <c r="A18">
        <v>18</v>
      </c>
      <c r="B18" t="s">
        <v>21</v>
      </c>
      <c r="C18">
        <v>44210245</v>
      </c>
      <c r="D18">
        <v>15882527</v>
      </c>
      <c r="E18" s="1">
        <f t="shared" si="0"/>
        <v>35.924992046526768</v>
      </c>
      <c r="F18">
        <v>26943839</v>
      </c>
      <c r="G18" s="1">
        <f t="shared" si="1"/>
        <v>60.944785535569871</v>
      </c>
      <c r="H18">
        <v>1383879</v>
      </c>
      <c r="I18" s="1">
        <f t="shared" si="2"/>
        <v>3.130222417903362</v>
      </c>
      <c r="J18">
        <v>206124</v>
      </c>
      <c r="K18" s="1">
        <f t="shared" si="3"/>
        <v>1.2978035548121529</v>
      </c>
      <c r="L18">
        <v>31352806</v>
      </c>
      <c r="M18">
        <v>25142867</v>
      </c>
      <c r="N18" s="1">
        <f t="shared" si="4"/>
        <v>80.193354942457134</v>
      </c>
      <c r="O18">
        <v>5798459</v>
      </c>
      <c r="P18" s="1">
        <f t="shared" si="5"/>
        <v>18.494226641149758</v>
      </c>
      <c r="Q18">
        <v>411480</v>
      </c>
      <c r="R18" s="1">
        <f t="shared" si="6"/>
        <v>1.3124184163930974</v>
      </c>
      <c r="S18">
        <v>71.56</v>
      </c>
    </row>
    <row r="19" spans="1:19" x14ac:dyDescent="0.25">
      <c r="A19">
        <v>19</v>
      </c>
      <c r="B19" t="s">
        <v>22</v>
      </c>
      <c r="C19">
        <v>41854452</v>
      </c>
      <c r="D19">
        <v>12792246</v>
      </c>
      <c r="E19" s="1">
        <f t="shared" si="0"/>
        <v>30.56364469901553</v>
      </c>
      <c r="F19">
        <v>27509000</v>
      </c>
      <c r="G19" s="1">
        <f t="shared" si="1"/>
        <v>65.725385677012326</v>
      </c>
      <c r="H19">
        <v>1553206</v>
      </c>
      <c r="I19" s="1">
        <f t="shared" si="2"/>
        <v>3.7109696239721406</v>
      </c>
      <c r="J19">
        <v>254616</v>
      </c>
      <c r="K19" s="1">
        <f t="shared" si="3"/>
        <v>1.9903932429066795</v>
      </c>
      <c r="L19">
        <v>25075260</v>
      </c>
      <c r="M19">
        <v>19595908</v>
      </c>
      <c r="N19" s="1">
        <f t="shared" si="4"/>
        <v>78.148374134505488</v>
      </c>
      <c r="O19">
        <v>5046801</v>
      </c>
      <c r="P19" s="1">
        <f t="shared" si="5"/>
        <v>20.126614838689608</v>
      </c>
      <c r="Q19">
        <v>432551</v>
      </c>
      <c r="R19" s="1">
        <f t="shared" si="6"/>
        <v>1.7250110268049064</v>
      </c>
      <c r="S19">
        <v>76.59</v>
      </c>
    </row>
    <row r="20" spans="1:19" x14ac:dyDescent="0.25">
      <c r="A20">
        <v>20</v>
      </c>
      <c r="B20" t="s">
        <v>22</v>
      </c>
      <c r="C20">
        <v>41933950</v>
      </c>
      <c r="D20">
        <v>17389432</v>
      </c>
      <c r="E20" s="1">
        <f t="shared" si="0"/>
        <v>41.468623871588534</v>
      </c>
      <c r="F20">
        <v>23041683</v>
      </c>
      <c r="G20" s="1">
        <f t="shared" si="1"/>
        <v>54.947561581964024</v>
      </c>
      <c r="H20">
        <v>1502835</v>
      </c>
      <c r="I20" s="1">
        <f t="shared" si="2"/>
        <v>3.5838145464474489</v>
      </c>
      <c r="J20">
        <v>225362</v>
      </c>
      <c r="K20" s="1">
        <f t="shared" si="3"/>
        <v>1.2959710242404698</v>
      </c>
      <c r="L20">
        <v>34328140</v>
      </c>
      <c r="M20">
        <v>27964128</v>
      </c>
      <c r="N20" s="1">
        <f t="shared" si="4"/>
        <v>81.46123850578563</v>
      </c>
      <c r="O20">
        <v>5873409</v>
      </c>
      <c r="P20" s="1">
        <f t="shared" si="5"/>
        <v>17.109604540181902</v>
      </c>
      <c r="Q20">
        <v>490603</v>
      </c>
      <c r="R20" s="1">
        <f t="shared" si="6"/>
        <v>1.4291569540324642</v>
      </c>
      <c r="S20">
        <v>66.66</v>
      </c>
    </row>
    <row r="21" spans="1:19" x14ac:dyDescent="0.25">
      <c r="A21">
        <v>21</v>
      </c>
      <c r="B21" t="s">
        <v>21</v>
      </c>
      <c r="C21">
        <v>43517266</v>
      </c>
      <c r="D21">
        <v>15837069</v>
      </c>
      <c r="E21" s="1">
        <f t="shared" si="0"/>
        <v>36.392610234291837</v>
      </c>
      <c r="F21">
        <v>25938208</v>
      </c>
      <c r="G21" s="1">
        <f t="shared" si="1"/>
        <v>59.60440621430584</v>
      </c>
      <c r="H21">
        <v>1741989</v>
      </c>
      <c r="I21" s="1">
        <f t="shared" si="2"/>
        <v>4.0029835514023331</v>
      </c>
      <c r="J21">
        <v>245619</v>
      </c>
      <c r="K21" s="1">
        <f t="shared" si="3"/>
        <v>1.5509119774624964</v>
      </c>
      <c r="L21">
        <v>31182900</v>
      </c>
      <c r="M21">
        <v>24935790</v>
      </c>
      <c r="N21" s="1">
        <f t="shared" si="4"/>
        <v>79.966231492260178</v>
      </c>
      <c r="O21">
        <v>5782173</v>
      </c>
      <c r="P21" s="1">
        <f t="shared" si="5"/>
        <v>18.542768632808365</v>
      </c>
      <c r="Q21">
        <v>464937</v>
      </c>
      <c r="R21" s="1">
        <f t="shared" si="6"/>
        <v>1.4909998749314528</v>
      </c>
      <c r="S21">
        <v>71.349999999999994</v>
      </c>
    </row>
    <row r="22" spans="1:19" x14ac:dyDescent="0.25">
      <c r="A22">
        <v>22</v>
      </c>
      <c r="B22" t="s">
        <v>19</v>
      </c>
      <c r="C22">
        <v>44988955</v>
      </c>
      <c r="D22">
        <v>14342048</v>
      </c>
      <c r="E22" s="1">
        <f t="shared" si="0"/>
        <v>31.879042311607371</v>
      </c>
      <c r="F22">
        <v>29126140</v>
      </c>
      <c r="G22" s="1">
        <f t="shared" si="1"/>
        <v>64.740645787393817</v>
      </c>
      <c r="H22">
        <v>1520767</v>
      </c>
      <c r="I22" s="1">
        <f t="shared" si="2"/>
        <v>3.3803119009988123</v>
      </c>
      <c r="J22">
        <v>265153</v>
      </c>
      <c r="K22" s="1">
        <f t="shared" si="3"/>
        <v>1.8487805925625129</v>
      </c>
      <c r="L22">
        <v>28153790</v>
      </c>
      <c r="M22">
        <v>22109581</v>
      </c>
      <c r="N22" s="1">
        <f t="shared" si="4"/>
        <v>78.531455267656682</v>
      </c>
      <c r="O22">
        <v>5568364</v>
      </c>
      <c r="P22" s="1">
        <f t="shared" si="5"/>
        <v>19.778381525187193</v>
      </c>
      <c r="Q22">
        <v>475845</v>
      </c>
      <c r="R22" s="1">
        <f t="shared" si="6"/>
        <v>1.6901632071561237</v>
      </c>
      <c r="S22">
        <v>75.430000000000007</v>
      </c>
    </row>
    <row r="23" spans="1:19" x14ac:dyDescent="0.25">
      <c r="A23">
        <v>23</v>
      </c>
      <c r="B23" t="s">
        <v>21</v>
      </c>
      <c r="C23">
        <v>49026543</v>
      </c>
      <c r="D23">
        <v>18408154</v>
      </c>
      <c r="E23" s="1">
        <f t="shared" si="0"/>
        <v>37.547322070006039</v>
      </c>
      <c r="F23">
        <v>28919955</v>
      </c>
      <c r="G23" s="1">
        <f t="shared" si="1"/>
        <v>58.988362691613801</v>
      </c>
      <c r="H23">
        <v>1698434</v>
      </c>
      <c r="I23" s="1">
        <f t="shared" si="2"/>
        <v>3.4643152383801565</v>
      </c>
      <c r="J23">
        <v>258321</v>
      </c>
      <c r="K23" s="1">
        <f t="shared" si="3"/>
        <v>1.4032966043200203</v>
      </c>
      <c r="L23">
        <v>36299666</v>
      </c>
      <c r="M23">
        <v>29212969</v>
      </c>
      <c r="N23" s="1">
        <f t="shared" si="4"/>
        <v>80.477239101869429</v>
      </c>
      <c r="O23">
        <v>6596139</v>
      </c>
      <c r="P23" s="1">
        <f t="shared" si="5"/>
        <v>18.171349014616279</v>
      </c>
      <c r="Q23">
        <v>490558</v>
      </c>
      <c r="R23" s="1">
        <f t="shared" si="6"/>
        <v>1.3514118835143001</v>
      </c>
      <c r="S23">
        <v>70.209999999999994</v>
      </c>
    </row>
    <row r="24" spans="1:19" x14ac:dyDescent="0.25">
      <c r="A24">
        <v>24</v>
      </c>
      <c r="B24" t="s">
        <v>21</v>
      </c>
      <c r="C24">
        <v>42257746</v>
      </c>
      <c r="D24">
        <v>12759438</v>
      </c>
      <c r="E24" s="1">
        <f t="shared" si="0"/>
        <v>30.194317510451217</v>
      </c>
      <c r="F24">
        <v>27889867</v>
      </c>
      <c r="G24" s="1">
        <f t="shared" si="1"/>
        <v>65.999419372722812</v>
      </c>
      <c r="H24">
        <v>1608441</v>
      </c>
      <c r="I24" s="1">
        <f t="shared" si="2"/>
        <v>3.8062631168259662</v>
      </c>
      <c r="J24">
        <v>259586</v>
      </c>
      <c r="K24" s="1">
        <f t="shared" si="3"/>
        <v>2.0344626463955544</v>
      </c>
      <c r="L24">
        <v>24999704</v>
      </c>
      <c r="M24">
        <v>19519997</v>
      </c>
      <c r="N24" s="1">
        <f t="shared" si="4"/>
        <v>78.080912478003739</v>
      </c>
      <c r="O24">
        <v>5062299</v>
      </c>
      <c r="P24" s="1">
        <f t="shared" si="5"/>
        <v>20.249435753319318</v>
      </c>
      <c r="Q24">
        <v>417408</v>
      </c>
      <c r="R24" s="1">
        <f t="shared" si="6"/>
        <v>1.669651768676941</v>
      </c>
      <c r="S24">
        <v>76.900000000000006</v>
      </c>
    </row>
    <row r="25" spans="1:19" x14ac:dyDescent="0.25">
      <c r="A25">
        <v>25</v>
      </c>
      <c r="B25" t="s">
        <v>21</v>
      </c>
      <c r="C25">
        <v>43986055</v>
      </c>
      <c r="D25">
        <v>13065911</v>
      </c>
      <c r="E25" s="1">
        <f t="shared" si="0"/>
        <v>29.704666626729765</v>
      </c>
      <c r="F25">
        <v>29087243</v>
      </c>
      <c r="G25" s="1">
        <f t="shared" si="1"/>
        <v>66.128328625970212</v>
      </c>
      <c r="H25">
        <v>1832901</v>
      </c>
      <c r="I25" s="1">
        <f t="shared" si="2"/>
        <v>4.1670047473000249</v>
      </c>
      <c r="J25">
        <v>259243</v>
      </c>
      <c r="K25" s="1">
        <f t="shared" si="3"/>
        <v>1.9841172957629973</v>
      </c>
      <c r="L25">
        <v>25613336</v>
      </c>
      <c r="M25">
        <v>19833471</v>
      </c>
      <c r="N25" s="1">
        <f t="shared" si="4"/>
        <v>77.434157737203776</v>
      </c>
      <c r="O25">
        <v>5284990</v>
      </c>
      <c r="P25" s="1">
        <f t="shared" si="5"/>
        <v>20.633743296851296</v>
      </c>
      <c r="Q25">
        <v>494875</v>
      </c>
      <c r="R25" s="1">
        <f t="shared" si="6"/>
        <v>1.9320989659449279</v>
      </c>
      <c r="S25">
        <v>77.45</v>
      </c>
    </row>
    <row r="26" spans="1:19" x14ac:dyDescent="0.25">
      <c r="A26">
        <v>26</v>
      </c>
      <c r="B26" t="s">
        <v>21</v>
      </c>
      <c r="C26">
        <v>47236128</v>
      </c>
      <c r="D26">
        <v>14942139</v>
      </c>
      <c r="E26" s="1">
        <f t="shared" si="0"/>
        <v>31.632861609656064</v>
      </c>
      <c r="F26">
        <v>30477422</v>
      </c>
      <c r="G26" s="1">
        <f t="shared" si="1"/>
        <v>64.521423093781095</v>
      </c>
      <c r="H26">
        <v>1816567</v>
      </c>
      <c r="I26" s="1">
        <f t="shared" si="2"/>
        <v>3.8457152965628341</v>
      </c>
      <c r="J26">
        <v>292006</v>
      </c>
      <c r="K26" s="1">
        <f t="shared" si="3"/>
        <v>1.9542449712186456</v>
      </c>
      <c r="L26">
        <v>29300266</v>
      </c>
      <c r="M26">
        <v>23074419</v>
      </c>
      <c r="N26" s="1">
        <f t="shared" si="4"/>
        <v>78.751568330471812</v>
      </c>
      <c r="O26">
        <v>5706943</v>
      </c>
      <c r="P26" s="1">
        <f t="shared" si="5"/>
        <v>19.477444334464401</v>
      </c>
      <c r="Q26">
        <v>518904</v>
      </c>
      <c r="R26" s="1">
        <f t="shared" si="6"/>
        <v>1.7709873350637839</v>
      </c>
      <c r="S26">
        <v>75.58</v>
      </c>
    </row>
    <row r="27" spans="1:19" x14ac:dyDescent="0.25">
      <c r="A27">
        <v>27</v>
      </c>
      <c r="B27" t="s">
        <v>19</v>
      </c>
      <c r="C27">
        <v>50419872</v>
      </c>
      <c r="D27">
        <v>16797418</v>
      </c>
      <c r="E27" s="1">
        <f t="shared" si="0"/>
        <v>33.315074659451732</v>
      </c>
      <c r="F27">
        <v>31765518</v>
      </c>
      <c r="G27" s="1">
        <f t="shared" si="1"/>
        <v>63.001980647630361</v>
      </c>
      <c r="H27">
        <v>1856936</v>
      </c>
      <c r="I27" s="1">
        <f t="shared" si="2"/>
        <v>3.6829446929179035</v>
      </c>
      <c r="J27">
        <v>297867</v>
      </c>
      <c r="K27" s="1">
        <f t="shared" si="3"/>
        <v>1.7732903949880869</v>
      </c>
      <c r="L27">
        <v>32999102</v>
      </c>
      <c r="M27">
        <v>26140175</v>
      </c>
      <c r="N27" s="1">
        <f t="shared" si="4"/>
        <v>79.214807118084607</v>
      </c>
      <c r="O27">
        <v>6379259</v>
      </c>
      <c r="P27" s="1">
        <f t="shared" si="5"/>
        <v>19.33161393300945</v>
      </c>
      <c r="Q27">
        <v>479668</v>
      </c>
      <c r="R27" s="1">
        <f t="shared" si="6"/>
        <v>1.453578948905943</v>
      </c>
      <c r="S27">
        <v>74.08</v>
      </c>
    </row>
    <row r="28" spans="1:19" x14ac:dyDescent="0.25">
      <c r="A28">
        <v>28</v>
      </c>
      <c r="B28" t="s">
        <v>21</v>
      </c>
      <c r="C28">
        <v>48447323</v>
      </c>
      <c r="D28">
        <v>12307540</v>
      </c>
      <c r="E28" s="1">
        <f t="shared" si="0"/>
        <v>25.403962980575827</v>
      </c>
      <c r="F28">
        <v>34177713</v>
      </c>
      <c r="G28" s="1">
        <f t="shared" si="1"/>
        <v>70.546133168183516</v>
      </c>
      <c r="H28">
        <v>1962070</v>
      </c>
      <c r="I28" s="1">
        <f t="shared" si="2"/>
        <v>4.0499038512406553</v>
      </c>
      <c r="J28">
        <v>244367</v>
      </c>
      <c r="K28" s="1">
        <f t="shared" si="3"/>
        <v>1.9855064456422649</v>
      </c>
      <c r="L28">
        <v>24126346</v>
      </c>
      <c r="M28">
        <v>19002240</v>
      </c>
      <c r="N28" s="1">
        <f t="shared" si="4"/>
        <v>78.761367345059213</v>
      </c>
      <c r="O28">
        <v>4714212</v>
      </c>
      <c r="P28" s="1">
        <f t="shared" si="5"/>
        <v>19.539684956851733</v>
      </c>
      <c r="Q28">
        <v>409894</v>
      </c>
      <c r="R28" s="1">
        <f t="shared" si="6"/>
        <v>1.6989476980890519</v>
      </c>
      <c r="S28">
        <v>80.39</v>
      </c>
    </row>
    <row r="29" spans="1:19" x14ac:dyDescent="0.25">
      <c r="A29">
        <v>30</v>
      </c>
      <c r="B29" t="s">
        <v>22</v>
      </c>
      <c r="C29">
        <v>47526689</v>
      </c>
      <c r="D29">
        <v>12263820</v>
      </c>
      <c r="E29" s="1">
        <f t="shared" si="0"/>
        <v>25.804069793290253</v>
      </c>
      <c r="F29">
        <v>33406524</v>
      </c>
      <c r="G29" s="1">
        <f t="shared" si="1"/>
        <v>70.290030092355067</v>
      </c>
      <c r="H29">
        <v>1856345</v>
      </c>
      <c r="I29" s="1">
        <f t="shared" si="2"/>
        <v>3.905900114354695</v>
      </c>
      <c r="J29">
        <v>247897</v>
      </c>
      <c r="K29" s="1">
        <f t="shared" si="3"/>
        <v>2.0213685458527602</v>
      </c>
      <c r="L29">
        <v>24031846</v>
      </c>
      <c r="M29">
        <v>18510357</v>
      </c>
      <c r="N29" s="1">
        <f t="shared" si="4"/>
        <v>77.024282695553225</v>
      </c>
      <c r="O29">
        <v>5042204</v>
      </c>
      <c r="P29" s="1">
        <f t="shared" si="5"/>
        <v>20.981342839830116</v>
      </c>
      <c r="Q29">
        <v>479285</v>
      </c>
      <c r="R29" s="1">
        <f t="shared" si="6"/>
        <v>1.9943744646166592</v>
      </c>
      <c r="S29">
        <v>80.53</v>
      </c>
    </row>
    <row r="30" spans="1:19" x14ac:dyDescent="0.25">
      <c r="A30">
        <v>31</v>
      </c>
      <c r="B30" t="s">
        <v>22</v>
      </c>
      <c r="C30">
        <v>50960267</v>
      </c>
      <c r="D30">
        <v>19950938</v>
      </c>
      <c r="E30" s="1">
        <f t="shared" si="0"/>
        <v>39.149987185114234</v>
      </c>
      <c r="F30">
        <v>29214233</v>
      </c>
      <c r="G30" s="1">
        <f t="shared" si="1"/>
        <v>57.327472401194449</v>
      </c>
      <c r="H30">
        <v>1795096</v>
      </c>
      <c r="I30" s="1">
        <f t="shared" si="2"/>
        <v>3.5225404136913179</v>
      </c>
      <c r="J30">
        <v>272789</v>
      </c>
      <c r="K30" s="1">
        <f t="shared" si="3"/>
        <v>1.36729912147489</v>
      </c>
      <c r="L30">
        <v>39356298</v>
      </c>
      <c r="M30">
        <v>32160316</v>
      </c>
      <c r="N30" s="1">
        <f t="shared" si="4"/>
        <v>81.715805688837904</v>
      </c>
      <c r="O30">
        <v>6643540</v>
      </c>
      <c r="P30" s="1">
        <f t="shared" si="5"/>
        <v>16.880500295022667</v>
      </c>
      <c r="Q30">
        <v>552442</v>
      </c>
      <c r="R30" s="1">
        <f t="shared" si="6"/>
        <v>1.4036940161394245</v>
      </c>
      <c r="S30">
        <v>68.45</v>
      </c>
    </row>
    <row r="31" spans="1:19" x14ac:dyDescent="0.25">
      <c r="A31">
        <v>34</v>
      </c>
      <c r="B31" t="s">
        <v>19</v>
      </c>
      <c r="C31">
        <v>44542424</v>
      </c>
      <c r="D31">
        <v>18060622</v>
      </c>
      <c r="E31" s="1">
        <f t="shared" si="0"/>
        <v>40.547011990187151</v>
      </c>
      <c r="F31">
        <v>25163649</v>
      </c>
      <c r="G31" s="1">
        <f t="shared" si="1"/>
        <v>56.493667699809059</v>
      </c>
      <c r="H31">
        <v>1318153</v>
      </c>
      <c r="I31" s="1">
        <f t="shared" si="2"/>
        <v>2.9593203100037839</v>
      </c>
      <c r="J31">
        <v>252041</v>
      </c>
      <c r="K31" s="1">
        <f t="shared" si="3"/>
        <v>1.3955277952221135</v>
      </c>
      <c r="L31">
        <v>35617162</v>
      </c>
      <c r="M31">
        <v>28468284</v>
      </c>
      <c r="N31" s="1">
        <f t="shared" si="4"/>
        <v>79.928558036151216</v>
      </c>
      <c r="O31">
        <v>6644574</v>
      </c>
      <c r="P31" s="1">
        <f t="shared" si="5"/>
        <v>18.655540270165265</v>
      </c>
      <c r="Q31">
        <v>504304</v>
      </c>
      <c r="R31" s="1">
        <f t="shared" si="6"/>
        <v>1.4159016936835114</v>
      </c>
      <c r="S31">
        <v>68.040000000000006</v>
      </c>
    </row>
    <row r="32" spans="1:19" x14ac:dyDescent="0.25">
      <c r="A32">
        <v>36</v>
      </c>
      <c r="B32" t="s">
        <v>19</v>
      </c>
      <c r="C32">
        <v>53294029</v>
      </c>
      <c r="D32">
        <v>15701359</v>
      </c>
      <c r="E32" s="1">
        <f t="shared" si="0"/>
        <v>29.461760153280963</v>
      </c>
      <c r="F32">
        <v>35674138</v>
      </c>
      <c r="G32" s="1">
        <f t="shared" si="1"/>
        <v>66.938339377568923</v>
      </c>
      <c r="H32">
        <v>1918532</v>
      </c>
      <c r="I32" s="1">
        <f t="shared" si="2"/>
        <v>3.5999004691501182</v>
      </c>
      <c r="J32">
        <v>295073</v>
      </c>
      <c r="K32" s="1">
        <f t="shared" si="3"/>
        <v>1.8792831881622476</v>
      </c>
      <c r="L32">
        <v>30812572</v>
      </c>
      <c r="M32">
        <v>24173766</v>
      </c>
      <c r="N32" s="1">
        <f t="shared" si="4"/>
        <v>78.454229656647939</v>
      </c>
      <c r="O32">
        <v>6086418</v>
      </c>
      <c r="P32" s="1">
        <f t="shared" si="5"/>
        <v>19.753034573030774</v>
      </c>
      <c r="Q32">
        <v>552388</v>
      </c>
      <c r="R32" s="1">
        <f t="shared" si="6"/>
        <v>1.7927357703212834</v>
      </c>
      <c r="S32">
        <v>77.319999999999993</v>
      </c>
    </row>
    <row r="33" spans="1:19" x14ac:dyDescent="0.25">
      <c r="A33">
        <v>50</v>
      </c>
      <c r="B33" t="s">
        <v>20</v>
      </c>
      <c r="C33">
        <v>45886352</v>
      </c>
      <c r="D33">
        <v>13232462</v>
      </c>
      <c r="E33" s="1">
        <f t="shared" si="0"/>
        <v>28.83746783793142</v>
      </c>
      <c r="F33">
        <v>31038351</v>
      </c>
      <c r="G33" s="1">
        <f t="shared" si="1"/>
        <v>67.641792487666052</v>
      </c>
      <c r="H33">
        <v>1615539</v>
      </c>
      <c r="I33" s="1">
        <f t="shared" si="2"/>
        <v>3.5207396744025323</v>
      </c>
      <c r="J33">
        <v>266232</v>
      </c>
      <c r="K33" s="1">
        <f t="shared" si="3"/>
        <v>2.0119611905932548</v>
      </c>
      <c r="L33">
        <v>25932460</v>
      </c>
      <c r="M33">
        <v>20417598</v>
      </c>
      <c r="N33" s="1">
        <f t="shared" si="4"/>
        <v>78.733749131397474</v>
      </c>
      <c r="O33">
        <v>5066472</v>
      </c>
      <c r="P33" s="1">
        <f t="shared" si="5"/>
        <v>19.537182357554972</v>
      </c>
      <c r="Q33">
        <v>448390</v>
      </c>
      <c r="R33" s="1">
        <f t="shared" si="6"/>
        <v>1.7290685110475441</v>
      </c>
      <c r="S33">
        <v>77.75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6D1A8-8689-439A-98DB-CD85A5AE9E02}">
  <dimension ref="A1:V33"/>
  <sheetViews>
    <sheetView tabSelected="1" workbookViewId="0">
      <selection activeCell="AB28" sqref="AB28"/>
    </sheetView>
  </sheetViews>
  <sheetFormatPr defaultRowHeight="15" x14ac:dyDescent="0.25"/>
  <cols>
    <col min="5" max="5" width="10.85546875" bestFit="1" customWidth="1"/>
    <col min="11" max="11" width="11.7109375" bestFit="1" customWidth="1"/>
    <col min="12" max="12" width="10.85546875" bestFit="1" customWidth="1"/>
    <col min="13" max="13" width="9" bestFit="1" customWidth="1"/>
    <col min="14" max="14" width="12" bestFit="1" customWidth="1"/>
    <col min="15" max="15" width="8" bestFit="1" customWidth="1"/>
    <col min="16" max="16" width="12" bestFit="1" customWidth="1"/>
    <col min="17" max="17" width="10.85546875" bestFit="1" customWidth="1"/>
    <col min="18" max="18" width="15.7109375" bestFit="1" customWidth="1"/>
    <col min="19" max="19" width="17.28515625" bestFit="1" customWidth="1"/>
    <col min="21" max="21" width="28.28515625" bestFit="1" customWidth="1"/>
  </cols>
  <sheetData>
    <row r="1" spans="1:22" x14ac:dyDescent="0.25">
      <c r="A1" t="s">
        <v>0</v>
      </c>
      <c r="B1" t="s">
        <v>18</v>
      </c>
      <c r="C1" t="s">
        <v>1</v>
      </c>
      <c r="D1" t="s">
        <v>2</v>
      </c>
      <c r="E1" s="1" t="s">
        <v>6</v>
      </c>
      <c r="F1" t="s">
        <v>3</v>
      </c>
      <c r="G1" s="1" t="s">
        <v>7</v>
      </c>
      <c r="H1" t="s">
        <v>4</v>
      </c>
      <c r="I1" s="1" t="s">
        <v>8</v>
      </c>
      <c r="J1" t="s">
        <v>5</v>
      </c>
      <c r="K1" s="1" t="s">
        <v>9</v>
      </c>
      <c r="L1" t="s">
        <v>17</v>
      </c>
      <c r="M1" t="s">
        <v>10</v>
      </c>
      <c r="N1" s="1" t="s">
        <v>11</v>
      </c>
      <c r="O1" t="s">
        <v>12</v>
      </c>
      <c r="P1" s="1" t="s">
        <v>13</v>
      </c>
      <c r="Q1" t="s">
        <v>14</v>
      </c>
      <c r="R1" s="1" t="s">
        <v>15</v>
      </c>
      <c r="S1" t="s">
        <v>16</v>
      </c>
    </row>
    <row r="2" spans="1:22" x14ac:dyDescent="0.25">
      <c r="A2">
        <v>5</v>
      </c>
      <c r="B2" t="s">
        <v>29</v>
      </c>
      <c r="C2">
        <v>44679810</v>
      </c>
      <c r="D2">
        <v>15376037</v>
      </c>
      <c r="E2" s="1">
        <f>SUM($D2/$C2)*100</f>
        <v>34.413837032879059</v>
      </c>
      <c r="F2">
        <v>27480864</v>
      </c>
      <c r="G2" s="1">
        <f>SUM($F2/$C2)*100</f>
        <v>61.506223952160944</v>
      </c>
      <c r="H2">
        <v>1822909</v>
      </c>
      <c r="I2" s="1">
        <f>SUM($H2/$C2)*100</f>
        <v>4.0799390149600008</v>
      </c>
      <c r="J2">
        <v>246166</v>
      </c>
      <c r="K2" s="1">
        <f>SUM($J2/$D2)*100</f>
        <v>1.600971693811611</v>
      </c>
      <c r="L2">
        <v>30259742</v>
      </c>
      <c r="M2">
        <v>24686410</v>
      </c>
      <c r="N2" s="1">
        <f>SUM($M2/$L2)*100</f>
        <v>81.581693591439091</v>
      </c>
      <c r="O2">
        <v>5139977</v>
      </c>
      <c r="P2" s="1">
        <f>SUM($O2/$L2)*100</f>
        <v>16.986189108948782</v>
      </c>
      <c r="Q2">
        <v>433355</v>
      </c>
      <c r="R2" s="1">
        <f>SUM($Q2/$L2)*100</f>
        <v>1.4321172996121381</v>
      </c>
      <c r="S2">
        <v>72.37</v>
      </c>
      <c r="U2" t="s">
        <v>23</v>
      </c>
      <c r="V2" t="s">
        <v>27</v>
      </c>
    </row>
    <row r="3" spans="1:22" x14ac:dyDescent="0.25">
      <c r="A3">
        <v>8</v>
      </c>
      <c r="B3" t="s">
        <v>29</v>
      </c>
      <c r="C3">
        <v>48581417</v>
      </c>
      <c r="D3">
        <v>14451938</v>
      </c>
      <c r="E3" s="1">
        <f>SUM($D3/$C3)*100</f>
        <v>29.747872525002716</v>
      </c>
      <c r="F3">
        <v>32503249</v>
      </c>
      <c r="G3" s="1">
        <f>SUM($F3/$C3)*100</f>
        <v>66.904695266504888</v>
      </c>
      <c r="H3">
        <v>1626230</v>
      </c>
      <c r="I3" s="1">
        <f>SUM($H3/$C3)*100</f>
        <v>3.3474322084923949</v>
      </c>
      <c r="J3">
        <v>305688</v>
      </c>
      <c r="K3" s="1">
        <f>SUM($J3/$D3)*100</f>
        <v>2.1152042030625928</v>
      </c>
      <c r="L3">
        <v>28292500</v>
      </c>
      <c r="M3">
        <v>22134929</v>
      </c>
      <c r="N3" s="1">
        <f>SUM($M3/$L3)*100</f>
        <v>78.236030750198822</v>
      </c>
      <c r="O3">
        <v>5702848</v>
      </c>
      <c r="P3" s="1">
        <f>SUM($O3/$L3)*100</f>
        <v>20.156748254837854</v>
      </c>
      <c r="Q3">
        <v>454723</v>
      </c>
      <c r="R3" s="1">
        <f>SUM($Q3/$L3)*100</f>
        <v>1.6072209949633296</v>
      </c>
      <c r="S3">
        <v>77.22</v>
      </c>
      <c r="U3" t="s">
        <v>24</v>
      </c>
      <c r="V3">
        <f>MIN(C2:C33)</f>
        <v>37097643</v>
      </c>
    </row>
    <row r="4" spans="1:22" x14ac:dyDescent="0.25">
      <c r="A4">
        <v>12</v>
      </c>
      <c r="B4" t="s">
        <v>29</v>
      </c>
      <c r="C4">
        <v>47265837</v>
      </c>
      <c r="D4">
        <v>14501386</v>
      </c>
      <c r="E4" s="1">
        <f>SUM($D4/$C4)*100</f>
        <v>30.680480703219114</v>
      </c>
      <c r="F4">
        <v>31144898</v>
      </c>
      <c r="G4" s="1">
        <f>SUM($F4/$C4)*100</f>
        <v>65.89304236800038</v>
      </c>
      <c r="H4">
        <v>1619553</v>
      </c>
      <c r="I4" s="1">
        <f>SUM($H4/$C4)*100</f>
        <v>3.4264769287805059</v>
      </c>
      <c r="J4">
        <v>299233</v>
      </c>
      <c r="K4" s="1">
        <f>SUM($J4/$D4)*100</f>
        <v>2.0634786219744785</v>
      </c>
      <c r="L4">
        <v>28404306</v>
      </c>
      <c r="M4">
        <v>22190235</v>
      </c>
      <c r="N4" s="1">
        <f>SUM($M4/$L4)*100</f>
        <v>78.12278532698528</v>
      </c>
      <c r="O4">
        <v>5738114</v>
      </c>
      <c r="P4" s="1">
        <f>SUM($O4/$L4)*100</f>
        <v>20.201563805149824</v>
      </c>
      <c r="Q4">
        <v>475957</v>
      </c>
      <c r="R4" s="1">
        <f>SUM($Q4/$L4)*100</f>
        <v>1.6756508678648936</v>
      </c>
      <c r="S4">
        <v>76.53</v>
      </c>
      <c r="U4" t="s">
        <v>25</v>
      </c>
      <c r="V4">
        <f>MAX(C2:C33)</f>
        <v>53497354</v>
      </c>
    </row>
    <row r="5" spans="1:22" x14ac:dyDescent="0.25">
      <c r="A5">
        <v>16</v>
      </c>
      <c r="B5" t="s">
        <v>29</v>
      </c>
      <c r="C5">
        <v>44196125</v>
      </c>
      <c r="D5">
        <v>14270822</v>
      </c>
      <c r="E5" s="1">
        <f>SUM($D5/$C5)*100</f>
        <v>32.289758434704403</v>
      </c>
      <c r="F5">
        <v>28418349</v>
      </c>
      <c r="G5" s="1">
        <f>SUM($F5/$C5)*100</f>
        <v>64.300544448184098</v>
      </c>
      <c r="H5">
        <v>1506954</v>
      </c>
      <c r="I5" s="1">
        <f>SUM($H5/$C5)*100</f>
        <v>3.4096971171115111</v>
      </c>
      <c r="J5">
        <v>231404</v>
      </c>
      <c r="K5" s="1">
        <f>SUM($J5/$D5)*100</f>
        <v>1.6215183680379448</v>
      </c>
      <c r="L5">
        <v>28078836</v>
      </c>
      <c r="M5">
        <v>22091143</v>
      </c>
      <c r="N5" s="1">
        <f>SUM($M5/$L5)*100</f>
        <v>78.675423012549388</v>
      </c>
      <c r="O5">
        <v>5493408</v>
      </c>
      <c r="P5" s="1">
        <f>SUM($O5/$L5)*100</f>
        <v>19.564229799269455</v>
      </c>
      <c r="Q5">
        <v>494285</v>
      </c>
      <c r="R5" s="1">
        <f>SUM($Q5/$L5)*100</f>
        <v>1.7603471881811625</v>
      </c>
      <c r="S5">
        <v>75.010000000000005</v>
      </c>
      <c r="U5" t="s">
        <v>26</v>
      </c>
      <c r="V5">
        <f>AVERAGE(C2:C33)</f>
        <v>45894876.8125</v>
      </c>
    </row>
    <row r="6" spans="1:22" x14ac:dyDescent="0.25">
      <c r="A6">
        <v>22</v>
      </c>
      <c r="B6" t="s">
        <v>29</v>
      </c>
      <c r="C6">
        <v>44988955</v>
      </c>
      <c r="D6">
        <v>14342048</v>
      </c>
      <c r="E6" s="1">
        <f>SUM($D6/$C6)*100</f>
        <v>31.879042311607371</v>
      </c>
      <c r="F6">
        <v>29126140</v>
      </c>
      <c r="G6" s="1">
        <f>SUM($F6/$C6)*100</f>
        <v>64.740645787393817</v>
      </c>
      <c r="H6">
        <v>1520767</v>
      </c>
      <c r="I6" s="1">
        <f>SUM($H6/$C6)*100</f>
        <v>3.3803119009988123</v>
      </c>
      <c r="J6">
        <v>265153</v>
      </c>
      <c r="K6" s="1">
        <f>SUM($J6/$D6)*100</f>
        <v>1.8487805925625129</v>
      </c>
      <c r="L6">
        <v>28153790</v>
      </c>
      <c r="M6">
        <v>22109581</v>
      </c>
      <c r="N6" s="1">
        <f>SUM($M6/$L6)*100</f>
        <v>78.531455267656682</v>
      </c>
      <c r="O6">
        <v>5568364</v>
      </c>
      <c r="P6" s="1">
        <f>SUM($O6/$L6)*100</f>
        <v>19.778381525187193</v>
      </c>
      <c r="Q6">
        <v>475845</v>
      </c>
      <c r="R6" s="1">
        <f>SUM($Q6/$L6)*100</f>
        <v>1.6901632071561237</v>
      </c>
      <c r="S6">
        <v>75.430000000000007</v>
      </c>
    </row>
    <row r="7" spans="1:22" x14ac:dyDescent="0.25">
      <c r="A7">
        <v>27</v>
      </c>
      <c r="B7" t="s">
        <v>29</v>
      </c>
      <c r="C7">
        <v>50419872</v>
      </c>
      <c r="D7">
        <v>16797418</v>
      </c>
      <c r="E7" s="1">
        <f>SUM($D7/$C7)*100</f>
        <v>33.315074659451732</v>
      </c>
      <c r="F7">
        <v>31765518</v>
      </c>
      <c r="G7" s="1">
        <f>SUM($F7/$C7)*100</f>
        <v>63.001980647630361</v>
      </c>
      <c r="H7">
        <v>1856936</v>
      </c>
      <c r="I7" s="1">
        <f>SUM($H7/$C7)*100</f>
        <v>3.6829446929179035</v>
      </c>
      <c r="J7">
        <v>297867</v>
      </c>
      <c r="K7" s="1">
        <f>SUM($J7/$D7)*100</f>
        <v>1.7732903949880869</v>
      </c>
      <c r="L7">
        <v>32999102</v>
      </c>
      <c r="M7">
        <v>26140175</v>
      </c>
      <c r="N7" s="1">
        <f>SUM($M7/$L7)*100</f>
        <v>79.214807118084607</v>
      </c>
      <c r="O7">
        <v>6379259</v>
      </c>
      <c r="P7" s="1">
        <f>SUM($O7/$L7)*100</f>
        <v>19.33161393300945</v>
      </c>
      <c r="Q7">
        <v>479668</v>
      </c>
      <c r="R7" s="1">
        <f>SUM($Q7/$L7)*100</f>
        <v>1.453578948905943</v>
      </c>
      <c r="S7">
        <v>74.08</v>
      </c>
      <c r="U7" t="s">
        <v>28</v>
      </c>
      <c r="V7" t="s">
        <v>27</v>
      </c>
    </row>
    <row r="8" spans="1:22" x14ac:dyDescent="0.25">
      <c r="A8">
        <v>34</v>
      </c>
      <c r="B8" t="s">
        <v>29</v>
      </c>
      <c r="C8">
        <v>44542424</v>
      </c>
      <c r="D8">
        <v>18060622</v>
      </c>
      <c r="E8" s="1">
        <f>SUM($D8/$C8)*100</f>
        <v>40.547011990187151</v>
      </c>
      <c r="F8">
        <v>25163649</v>
      </c>
      <c r="G8" s="1">
        <f>SUM($F8/$C8)*100</f>
        <v>56.493667699809059</v>
      </c>
      <c r="H8">
        <v>1318153</v>
      </c>
      <c r="I8" s="1">
        <f>SUM($H8/$C8)*100</f>
        <v>2.9593203100037839</v>
      </c>
      <c r="J8">
        <v>252041</v>
      </c>
      <c r="K8" s="1">
        <f>SUM($J8/$D8)*100</f>
        <v>1.3955277952221135</v>
      </c>
      <c r="L8">
        <v>35617162</v>
      </c>
      <c r="M8">
        <v>28468284</v>
      </c>
      <c r="N8" s="1">
        <f>SUM($M8/$L8)*100</f>
        <v>79.928558036151216</v>
      </c>
      <c r="O8">
        <v>6644574</v>
      </c>
      <c r="P8" s="1">
        <f>SUM($O8/$L8)*100</f>
        <v>18.655540270165265</v>
      </c>
      <c r="Q8">
        <v>504304</v>
      </c>
      <c r="R8" s="1">
        <f>SUM($Q8/$L8)*100</f>
        <v>1.4159016936835114</v>
      </c>
      <c r="S8">
        <v>68.040000000000006</v>
      </c>
      <c r="U8" t="s">
        <v>24</v>
      </c>
      <c r="V8">
        <f>MIN(S2:S33)</f>
        <v>66.66</v>
      </c>
    </row>
    <row r="9" spans="1:22" x14ac:dyDescent="0.25">
      <c r="A9">
        <v>36</v>
      </c>
      <c r="B9" t="s">
        <v>29</v>
      </c>
      <c r="C9">
        <v>53294029</v>
      </c>
      <c r="D9">
        <v>15701359</v>
      </c>
      <c r="E9" s="1">
        <f>SUM($D9/$C9)*100</f>
        <v>29.461760153280963</v>
      </c>
      <c r="F9">
        <v>35674138</v>
      </c>
      <c r="G9" s="1">
        <f>SUM($F9/$C9)*100</f>
        <v>66.938339377568923</v>
      </c>
      <c r="H9">
        <v>1918532</v>
      </c>
      <c r="I9" s="1">
        <f>SUM($H9/$C9)*100</f>
        <v>3.5999004691501182</v>
      </c>
      <c r="J9">
        <v>295073</v>
      </c>
      <c r="K9" s="1">
        <f>SUM($J9/$D9)*100</f>
        <v>1.8792831881622476</v>
      </c>
      <c r="L9">
        <v>30812572</v>
      </c>
      <c r="M9">
        <v>24173766</v>
      </c>
      <c r="N9" s="1">
        <f>SUM($M9/$L9)*100</f>
        <v>78.454229656647939</v>
      </c>
      <c r="O9">
        <v>6086418</v>
      </c>
      <c r="P9" s="1">
        <f>SUM($O9/$L9)*100</f>
        <v>19.753034573030774</v>
      </c>
      <c r="Q9">
        <v>552388</v>
      </c>
      <c r="R9" s="1">
        <f>SUM($Q9/$L9)*100</f>
        <v>1.7927357703212834</v>
      </c>
      <c r="S9">
        <v>77.319999999999993</v>
      </c>
      <c r="U9" t="s">
        <v>25</v>
      </c>
      <c r="V9">
        <f>MAX(S2:S33)</f>
        <v>84.49</v>
      </c>
    </row>
    <row r="10" spans="1:22" x14ac:dyDescent="0.25">
      <c r="A10">
        <v>1</v>
      </c>
      <c r="B10" t="s">
        <v>30</v>
      </c>
      <c r="C10">
        <v>53069714</v>
      </c>
      <c r="D10">
        <v>21346149</v>
      </c>
      <c r="E10" s="1">
        <f>SUM($D10/$C10)*100</f>
        <v>40.222845369017818</v>
      </c>
      <c r="F10">
        <v>29923075</v>
      </c>
      <c r="G10" s="1">
        <f>SUM($F10/$C10)*100</f>
        <v>56.384466289002418</v>
      </c>
      <c r="H10">
        <v>1800490</v>
      </c>
      <c r="I10" s="1">
        <f>SUM($H10/$C10)*100</f>
        <v>3.3926883419797589</v>
      </c>
      <c r="J10">
        <v>298544</v>
      </c>
      <c r="K10" s="1">
        <f>SUM($J10/$D10)*100</f>
        <v>1.3985848220210586</v>
      </c>
      <c r="L10">
        <v>42095210</v>
      </c>
      <c r="M10">
        <v>33579123</v>
      </c>
      <c r="N10" s="1">
        <f>SUM($M10/$L10)*100</f>
        <v>79.769463081428981</v>
      </c>
      <c r="O10">
        <v>7921304</v>
      </c>
      <c r="P10" s="1">
        <f>SUM($O10/$L10)*100</f>
        <v>18.817589934816812</v>
      </c>
      <c r="Q10">
        <v>594783</v>
      </c>
      <c r="R10" s="1">
        <f>SUM($Q10/$L10)*100</f>
        <v>1.4129469837542086</v>
      </c>
      <c r="S10">
        <v>68.36</v>
      </c>
      <c r="U10" t="s">
        <v>26</v>
      </c>
      <c r="V10">
        <f>AVERAGE(S2:S33)</f>
        <v>74.750312499999993</v>
      </c>
    </row>
    <row r="11" spans="1:22" x14ac:dyDescent="0.25">
      <c r="A11">
        <v>4</v>
      </c>
      <c r="B11" t="s">
        <v>30</v>
      </c>
      <c r="C11">
        <v>53497354</v>
      </c>
      <c r="D11">
        <v>16247025</v>
      </c>
      <c r="E11" s="1">
        <f>SUM($D11/$C11)*100</f>
        <v>30.369773054570139</v>
      </c>
      <c r="F11">
        <v>35134550</v>
      </c>
      <c r="G11" s="1">
        <f>SUM($F11/$C11)*100</f>
        <v>65.675304240280738</v>
      </c>
      <c r="H11">
        <v>2115779</v>
      </c>
      <c r="I11" s="1">
        <f>SUM($H11/$C11)*100</f>
        <v>3.9549227051491185</v>
      </c>
      <c r="J11">
        <v>323540</v>
      </c>
      <c r="K11" s="1">
        <f>SUM($J11/$D11)*100</f>
        <v>1.991379960331199</v>
      </c>
      <c r="L11">
        <v>31846970</v>
      </c>
      <c r="M11">
        <v>25240806</v>
      </c>
      <c r="N11" s="1">
        <f>SUM($M11/$L11)*100</f>
        <v>79.256538377120336</v>
      </c>
      <c r="O11">
        <v>6030174</v>
      </c>
      <c r="P11" s="1">
        <f>SUM($O11/$L11)*100</f>
        <v>18.934843722966423</v>
      </c>
      <c r="Q11">
        <v>575990</v>
      </c>
      <c r="R11" s="1">
        <f>SUM($Q11/$L11)*100</f>
        <v>1.8086178999132414</v>
      </c>
      <c r="S11">
        <v>76.41</v>
      </c>
    </row>
    <row r="12" spans="1:22" x14ac:dyDescent="0.25">
      <c r="A12">
        <v>6</v>
      </c>
      <c r="B12" t="s">
        <v>30</v>
      </c>
      <c r="C12">
        <v>37097643</v>
      </c>
      <c r="D12">
        <v>12590845</v>
      </c>
      <c r="E12" s="1">
        <f>SUM($D12/$C12)*100</f>
        <v>33.939743826851746</v>
      </c>
      <c r="F12">
        <v>23328040</v>
      </c>
      <c r="G12" s="1">
        <f>SUM($F12/$C12)*100</f>
        <v>62.8828090237431</v>
      </c>
      <c r="H12">
        <v>1178758</v>
      </c>
      <c r="I12" s="1">
        <f>SUM($H12/$C12)*100</f>
        <v>3.1774471494051522</v>
      </c>
      <c r="J12">
        <v>219558</v>
      </c>
      <c r="K12" s="1">
        <f>SUM($J12/$D12)*100</f>
        <v>1.7437908257944563</v>
      </c>
      <c r="L12">
        <v>24742574</v>
      </c>
      <c r="M12">
        <v>19679845</v>
      </c>
      <c r="N12" s="1">
        <f>SUM($M12/$L12)*100</f>
        <v>79.538389983192531</v>
      </c>
      <c r="O12">
        <v>4718260</v>
      </c>
      <c r="P12" s="1">
        <f>SUM($O12/$L12)*100</f>
        <v>19.069398357664809</v>
      </c>
      <c r="Q12">
        <v>344469</v>
      </c>
      <c r="R12" s="1">
        <f>SUM($Q12/$L12)*100</f>
        <v>1.3922116591426583</v>
      </c>
      <c r="S12">
        <v>73.48</v>
      </c>
    </row>
    <row r="13" spans="1:22" x14ac:dyDescent="0.25">
      <c r="A13">
        <v>9</v>
      </c>
      <c r="B13" t="s">
        <v>30</v>
      </c>
      <c r="C13">
        <v>40564212</v>
      </c>
      <c r="D13">
        <v>11589956</v>
      </c>
      <c r="E13" s="1">
        <f>SUM($D13/$C13)*100</f>
        <v>28.571875129732582</v>
      </c>
      <c r="F13">
        <v>27362299</v>
      </c>
      <c r="G13" s="1">
        <f>SUM($F13/$C13)*100</f>
        <v>67.454284579717708</v>
      </c>
      <c r="H13">
        <v>1611957</v>
      </c>
      <c r="I13" s="1">
        <f>SUM($H13/$C13)*100</f>
        <v>3.9738402905497092</v>
      </c>
      <c r="J13">
        <v>235948</v>
      </c>
      <c r="K13" s="1">
        <f>SUM($J13/$D13)*100</f>
        <v>2.0357972023362296</v>
      </c>
      <c r="L13">
        <v>22708016</v>
      </c>
      <c r="M13">
        <v>17534491</v>
      </c>
      <c r="N13" s="1">
        <f>SUM($M13/$L13)*100</f>
        <v>77.217186213009541</v>
      </c>
      <c r="O13">
        <v>4713341</v>
      </c>
      <c r="P13" s="1">
        <f>SUM($O13/$L13)*100</f>
        <v>20.756287119050825</v>
      </c>
      <c r="Q13">
        <v>460184</v>
      </c>
      <c r="R13" s="1">
        <f>SUM($Q13/$L13)*100</f>
        <v>2.0265266679396388</v>
      </c>
      <c r="S13">
        <v>78.39</v>
      </c>
    </row>
    <row r="14" spans="1:22" x14ac:dyDescent="0.25">
      <c r="A14">
        <v>10</v>
      </c>
      <c r="B14" t="s">
        <v>30</v>
      </c>
      <c r="C14">
        <v>48311972</v>
      </c>
      <c r="D14">
        <v>15285693</v>
      </c>
      <c r="E14" s="1">
        <f>SUM($D14/$C14)*100</f>
        <v>31.639555098268396</v>
      </c>
      <c r="F14">
        <v>31402389</v>
      </c>
      <c r="G14" s="1">
        <f>SUM($F14/$C14)*100</f>
        <v>64.999186951010813</v>
      </c>
      <c r="H14">
        <v>1623890</v>
      </c>
      <c r="I14" s="1">
        <f>SUM($H14/$C14)*100</f>
        <v>3.3612579507207863</v>
      </c>
      <c r="J14">
        <v>289858</v>
      </c>
      <c r="K14" s="1">
        <f>SUM($J14/$D14)*100</f>
        <v>1.8962699303198094</v>
      </c>
      <c r="L14">
        <v>29991670</v>
      </c>
      <c r="M14">
        <v>23528629</v>
      </c>
      <c r="N14" s="1">
        <f>SUM($M14/$L14)*100</f>
        <v>78.450546435060133</v>
      </c>
      <c r="O14">
        <v>5967752</v>
      </c>
      <c r="P14" s="1">
        <f>SUM($O14/$L14)*100</f>
        <v>19.898031686798369</v>
      </c>
      <c r="Q14">
        <v>495289</v>
      </c>
      <c r="R14" s="1">
        <f>SUM($Q14/$L14)*100</f>
        <v>1.6514218781414971</v>
      </c>
      <c r="S14">
        <v>75.650000000000006</v>
      </c>
    </row>
    <row r="15" spans="1:22" x14ac:dyDescent="0.25">
      <c r="A15">
        <v>11</v>
      </c>
      <c r="B15" t="s">
        <v>30</v>
      </c>
      <c r="C15">
        <v>41904774</v>
      </c>
      <c r="D15">
        <v>14603413</v>
      </c>
      <c r="E15" s="1">
        <f>SUM($D15/$C15)*100</f>
        <v>34.849043691298753</v>
      </c>
      <c r="F15">
        <v>25851112</v>
      </c>
      <c r="G15" s="1">
        <f>SUM($F15/$C15)*100</f>
        <v>61.69013583034716</v>
      </c>
      <c r="H15">
        <v>1450249</v>
      </c>
      <c r="I15" s="1">
        <f>SUM($H15/$C15)*100</f>
        <v>3.4608204783540897</v>
      </c>
      <c r="J15">
        <v>231558</v>
      </c>
      <c r="K15" s="1">
        <f>SUM($J15/$D15)*100</f>
        <v>1.5856430274210556</v>
      </c>
      <c r="L15">
        <v>28743710</v>
      </c>
      <c r="M15">
        <v>22961541</v>
      </c>
      <c r="N15" s="1">
        <f>SUM($M15/$L15)*100</f>
        <v>79.883706730968271</v>
      </c>
      <c r="O15">
        <v>5381924</v>
      </c>
      <c r="P15" s="1">
        <f>SUM($O15/$L15)*100</f>
        <v>18.723832101005751</v>
      </c>
      <c r="Q15">
        <v>400245</v>
      </c>
      <c r="R15" s="1">
        <f>SUM($Q15/$L15)*100</f>
        <v>1.3924611680259786</v>
      </c>
      <c r="S15">
        <v>72.599999999999994</v>
      </c>
    </row>
    <row r="16" spans="1:22" x14ac:dyDescent="0.25">
      <c r="A16">
        <v>17</v>
      </c>
      <c r="B16" t="s">
        <v>30</v>
      </c>
      <c r="C16">
        <v>48674328</v>
      </c>
      <c r="D16">
        <v>14965537</v>
      </c>
      <c r="E16" s="1">
        <f>SUM($D16/$C16)*100</f>
        <v>30.746263204702078</v>
      </c>
      <c r="F16">
        <v>31960050</v>
      </c>
      <c r="G16" s="1">
        <f>SUM($F16/$C16)*100</f>
        <v>65.660998956164335</v>
      </c>
      <c r="H16">
        <v>1748741</v>
      </c>
      <c r="I16" s="1">
        <f>SUM($H16/$C16)*100</f>
        <v>3.5927378391335982</v>
      </c>
      <c r="J16">
        <v>292309</v>
      </c>
      <c r="K16" s="1">
        <f>SUM($J16/$D16)*100</f>
        <v>1.9532142414936398</v>
      </c>
      <c r="L16">
        <v>29346456</v>
      </c>
      <c r="M16">
        <v>23560360</v>
      </c>
      <c r="N16" s="1">
        <f>SUM($M16/$L16)*100</f>
        <v>80.283493175462141</v>
      </c>
      <c r="O16">
        <v>5336930</v>
      </c>
      <c r="P16" s="1">
        <f>SUM($O16/$L16)*100</f>
        <v>18.18594381549854</v>
      </c>
      <c r="Q16">
        <v>449166</v>
      </c>
      <c r="R16" s="1">
        <f>SUM($Q16/$L16)*100</f>
        <v>1.5305630090393196</v>
      </c>
      <c r="S16">
        <v>75.8</v>
      </c>
    </row>
    <row r="17" spans="1:19" x14ac:dyDescent="0.25">
      <c r="A17">
        <v>50</v>
      </c>
      <c r="B17" t="s">
        <v>30</v>
      </c>
      <c r="C17">
        <v>45886352</v>
      </c>
      <c r="D17">
        <v>13232462</v>
      </c>
      <c r="E17" s="1">
        <f>SUM($D17/$C17)*100</f>
        <v>28.83746783793142</v>
      </c>
      <c r="F17">
        <v>31038351</v>
      </c>
      <c r="G17" s="1">
        <f>SUM($F17/$C17)*100</f>
        <v>67.641792487666052</v>
      </c>
      <c r="H17">
        <v>1615539</v>
      </c>
      <c r="I17" s="1">
        <f>SUM($H17/$C17)*100</f>
        <v>3.5207396744025323</v>
      </c>
      <c r="J17">
        <v>266232</v>
      </c>
      <c r="K17" s="1">
        <f>SUM($J17/$D17)*100</f>
        <v>2.0119611905932548</v>
      </c>
      <c r="L17">
        <v>25932460</v>
      </c>
      <c r="M17">
        <v>20417598</v>
      </c>
      <c r="N17" s="1">
        <f>SUM($M17/$L17)*100</f>
        <v>78.733749131397474</v>
      </c>
      <c r="O17">
        <v>5066472</v>
      </c>
      <c r="P17" s="1">
        <f>SUM($O17/$L17)*100</f>
        <v>19.537182357554972</v>
      </c>
      <c r="Q17">
        <v>448390</v>
      </c>
      <c r="R17" s="1">
        <f>SUM($Q17/$L17)*100</f>
        <v>1.7290685110475441</v>
      </c>
      <c r="S17">
        <v>77.75</v>
      </c>
    </row>
    <row r="18" spans="1:19" x14ac:dyDescent="0.25">
      <c r="A18">
        <v>14</v>
      </c>
      <c r="B18" t="s">
        <v>31</v>
      </c>
      <c r="C18">
        <v>39786878</v>
      </c>
      <c r="D18">
        <v>12285293</v>
      </c>
      <c r="E18" s="1">
        <f>SUM($D18/$C18)*100</f>
        <v>30.877750699615085</v>
      </c>
      <c r="F18">
        <v>25920753</v>
      </c>
      <c r="G18" s="1">
        <f>SUM($F18/$C18)*100</f>
        <v>65.148999627465116</v>
      </c>
      <c r="H18">
        <v>1580832</v>
      </c>
      <c r="I18" s="1">
        <f>SUM($H18/$C18)*100</f>
        <v>3.9732496729198008</v>
      </c>
      <c r="J18">
        <v>220039</v>
      </c>
      <c r="K18" s="1">
        <f>SUM($J18/$D18)*100</f>
        <v>1.7910765335429932</v>
      </c>
      <c r="L18">
        <v>24130508</v>
      </c>
      <c r="M18">
        <v>19266568</v>
      </c>
      <c r="N18" s="1">
        <f>SUM($M18/$L18)*100</f>
        <v>79.843192692006312</v>
      </c>
      <c r="O18">
        <v>4400131</v>
      </c>
      <c r="P18" s="1">
        <f>SUM($O18/$L18)*100</f>
        <v>18.234721788700014</v>
      </c>
      <c r="Q18">
        <v>463809</v>
      </c>
      <c r="R18" s="1">
        <f>SUM($Q18/$L18)*100</f>
        <v>1.9220855192936677</v>
      </c>
      <c r="S18">
        <v>75.790000000000006</v>
      </c>
    </row>
    <row r="19" spans="1:19" x14ac:dyDescent="0.25">
      <c r="A19">
        <v>18</v>
      </c>
      <c r="B19" t="s">
        <v>31</v>
      </c>
      <c r="C19">
        <v>44210245</v>
      </c>
      <c r="D19">
        <v>15882527</v>
      </c>
      <c r="E19" s="1">
        <f>SUM($D19/$C19)*100</f>
        <v>35.924992046526768</v>
      </c>
      <c r="F19">
        <v>26943839</v>
      </c>
      <c r="G19" s="1">
        <f>SUM($F19/$C19)*100</f>
        <v>60.944785535569871</v>
      </c>
      <c r="H19">
        <v>1383879</v>
      </c>
      <c r="I19" s="1">
        <f>SUM($H19/$C19)*100</f>
        <v>3.130222417903362</v>
      </c>
      <c r="J19">
        <v>206124</v>
      </c>
      <c r="K19" s="1">
        <f>SUM($J19/$D19)*100</f>
        <v>1.2978035548121529</v>
      </c>
      <c r="L19">
        <v>31352806</v>
      </c>
      <c r="M19">
        <v>25142867</v>
      </c>
      <c r="N19" s="1">
        <f>SUM($M19/$L19)*100</f>
        <v>80.193354942457134</v>
      </c>
      <c r="O19">
        <v>5798459</v>
      </c>
      <c r="P19" s="1">
        <f>SUM($O19/$L19)*100</f>
        <v>18.494226641149758</v>
      </c>
      <c r="Q19">
        <v>411480</v>
      </c>
      <c r="R19" s="1">
        <f>SUM($Q19/$L19)*100</f>
        <v>1.3124184163930974</v>
      </c>
      <c r="S19">
        <v>71.56</v>
      </c>
    </row>
    <row r="20" spans="1:19" x14ac:dyDescent="0.25">
      <c r="A20">
        <v>21</v>
      </c>
      <c r="B20" t="s">
        <v>31</v>
      </c>
      <c r="C20">
        <v>43517266</v>
      </c>
      <c r="D20">
        <v>15837069</v>
      </c>
      <c r="E20" s="1">
        <f>SUM($D20/$C20)*100</f>
        <v>36.392610234291837</v>
      </c>
      <c r="F20">
        <v>25938208</v>
      </c>
      <c r="G20" s="1">
        <f>SUM($F20/$C20)*100</f>
        <v>59.60440621430584</v>
      </c>
      <c r="H20">
        <v>1741989</v>
      </c>
      <c r="I20" s="1">
        <f>SUM($H20/$C20)*100</f>
        <v>4.0029835514023331</v>
      </c>
      <c r="J20">
        <v>245619</v>
      </c>
      <c r="K20" s="1">
        <f>SUM($J20/$D20)*100</f>
        <v>1.5509119774624964</v>
      </c>
      <c r="L20">
        <v>31182900</v>
      </c>
      <c r="M20">
        <v>24935790</v>
      </c>
      <c r="N20" s="1">
        <f>SUM($M20/$L20)*100</f>
        <v>79.966231492260178</v>
      </c>
      <c r="O20">
        <v>5782173</v>
      </c>
      <c r="P20" s="1">
        <f>SUM($O20/$L20)*100</f>
        <v>18.542768632808365</v>
      </c>
      <c r="Q20">
        <v>464937</v>
      </c>
      <c r="R20" s="1">
        <f>SUM($Q20/$L20)*100</f>
        <v>1.4909998749314528</v>
      </c>
      <c r="S20">
        <v>71.349999999999994</v>
      </c>
    </row>
    <row r="21" spans="1:19" x14ac:dyDescent="0.25">
      <c r="A21">
        <v>23</v>
      </c>
      <c r="B21" t="s">
        <v>31</v>
      </c>
      <c r="C21">
        <v>49026543</v>
      </c>
      <c r="D21">
        <v>18408154</v>
      </c>
      <c r="E21" s="1">
        <f>SUM($D21/$C21)*100</f>
        <v>37.547322070006039</v>
      </c>
      <c r="F21">
        <v>28919955</v>
      </c>
      <c r="G21" s="1">
        <f>SUM($F21/$C21)*100</f>
        <v>58.988362691613801</v>
      </c>
      <c r="H21">
        <v>1698434</v>
      </c>
      <c r="I21" s="1">
        <f>SUM($H21/$C21)*100</f>
        <v>3.4643152383801565</v>
      </c>
      <c r="J21">
        <v>258321</v>
      </c>
      <c r="K21" s="1">
        <f>SUM($J21/$D21)*100</f>
        <v>1.4032966043200203</v>
      </c>
      <c r="L21">
        <v>36299666</v>
      </c>
      <c r="M21">
        <v>29212969</v>
      </c>
      <c r="N21" s="1">
        <f>SUM($M21/$L21)*100</f>
        <v>80.477239101869429</v>
      </c>
      <c r="O21">
        <v>6596139</v>
      </c>
      <c r="P21" s="1">
        <f>SUM($O21/$L21)*100</f>
        <v>18.171349014616279</v>
      </c>
      <c r="Q21">
        <v>490558</v>
      </c>
      <c r="R21" s="1">
        <f>SUM($Q21/$L21)*100</f>
        <v>1.3514118835143001</v>
      </c>
      <c r="S21">
        <v>70.209999999999994</v>
      </c>
    </row>
    <row r="22" spans="1:19" x14ac:dyDescent="0.25">
      <c r="A22">
        <v>24</v>
      </c>
      <c r="B22" t="s">
        <v>31</v>
      </c>
      <c r="C22">
        <v>42257746</v>
      </c>
      <c r="D22">
        <v>12759438</v>
      </c>
      <c r="E22" s="1">
        <f>SUM($D22/$C22)*100</f>
        <v>30.194317510451217</v>
      </c>
      <c r="F22">
        <v>27889867</v>
      </c>
      <c r="G22" s="1">
        <f>SUM($F22/$C22)*100</f>
        <v>65.999419372722812</v>
      </c>
      <c r="H22">
        <v>1608441</v>
      </c>
      <c r="I22" s="1">
        <f>SUM($H22/$C22)*100</f>
        <v>3.8062631168259662</v>
      </c>
      <c r="J22">
        <v>259586</v>
      </c>
      <c r="K22" s="1">
        <f>SUM($J22/$D22)*100</f>
        <v>2.0344626463955544</v>
      </c>
      <c r="L22">
        <v>24999704</v>
      </c>
      <c r="M22">
        <v>19519997</v>
      </c>
      <c r="N22" s="1">
        <f>SUM($M22/$L22)*100</f>
        <v>78.080912478003739</v>
      </c>
      <c r="O22">
        <v>5062299</v>
      </c>
      <c r="P22" s="1">
        <f>SUM($O22/$L22)*100</f>
        <v>20.249435753319318</v>
      </c>
      <c r="Q22">
        <v>417408</v>
      </c>
      <c r="R22" s="1">
        <f>SUM($Q22/$L22)*100</f>
        <v>1.669651768676941</v>
      </c>
      <c r="S22">
        <v>76.900000000000006</v>
      </c>
    </row>
    <row r="23" spans="1:19" x14ac:dyDescent="0.25">
      <c r="A23">
        <v>25</v>
      </c>
      <c r="B23" t="s">
        <v>31</v>
      </c>
      <c r="C23">
        <v>43986055</v>
      </c>
      <c r="D23">
        <v>13065911</v>
      </c>
      <c r="E23" s="1">
        <f>SUM($D23/$C23)*100</f>
        <v>29.704666626729765</v>
      </c>
      <c r="F23">
        <v>29087243</v>
      </c>
      <c r="G23" s="1">
        <f>SUM($F23/$C23)*100</f>
        <v>66.128328625970212</v>
      </c>
      <c r="H23">
        <v>1832901</v>
      </c>
      <c r="I23" s="1">
        <f>SUM($H23/$C23)*100</f>
        <v>4.1670047473000249</v>
      </c>
      <c r="J23">
        <v>259243</v>
      </c>
      <c r="K23" s="1">
        <f>SUM($J23/$D23)*100</f>
        <v>1.9841172957629973</v>
      </c>
      <c r="L23">
        <v>25613336</v>
      </c>
      <c r="M23">
        <v>19833471</v>
      </c>
      <c r="N23" s="1">
        <f>SUM($M23/$L23)*100</f>
        <v>77.434157737203776</v>
      </c>
      <c r="O23">
        <v>5284990</v>
      </c>
      <c r="P23" s="1">
        <f>SUM($O23/$L23)*100</f>
        <v>20.633743296851296</v>
      </c>
      <c r="Q23">
        <v>494875</v>
      </c>
      <c r="R23" s="1">
        <f>SUM($Q23/$L23)*100</f>
        <v>1.9320989659449279</v>
      </c>
      <c r="S23">
        <v>77.45</v>
      </c>
    </row>
    <row r="24" spans="1:19" x14ac:dyDescent="0.25">
      <c r="A24">
        <v>26</v>
      </c>
      <c r="B24" t="s">
        <v>31</v>
      </c>
      <c r="C24">
        <v>47236128</v>
      </c>
      <c r="D24">
        <v>14942139</v>
      </c>
      <c r="E24" s="1">
        <f>SUM($D24/$C24)*100</f>
        <v>31.632861609656064</v>
      </c>
      <c r="F24">
        <v>30477422</v>
      </c>
      <c r="G24" s="1">
        <f>SUM($F24/$C24)*100</f>
        <v>64.521423093781095</v>
      </c>
      <c r="H24">
        <v>1816567</v>
      </c>
      <c r="I24" s="1">
        <f>SUM($H24/$C24)*100</f>
        <v>3.8457152965628341</v>
      </c>
      <c r="J24">
        <v>292006</v>
      </c>
      <c r="K24" s="1">
        <f>SUM($J24/$D24)*100</f>
        <v>1.9542449712186456</v>
      </c>
      <c r="L24">
        <v>29300266</v>
      </c>
      <c r="M24">
        <v>23074419</v>
      </c>
      <c r="N24" s="1">
        <f>SUM($M24/$L24)*100</f>
        <v>78.751568330471812</v>
      </c>
      <c r="O24">
        <v>5706943</v>
      </c>
      <c r="P24" s="1">
        <f>SUM($O24/$L24)*100</f>
        <v>19.477444334464401</v>
      </c>
      <c r="Q24">
        <v>518904</v>
      </c>
      <c r="R24" s="1">
        <f>SUM($Q24/$L24)*100</f>
        <v>1.7709873350637839</v>
      </c>
      <c r="S24">
        <v>75.58</v>
      </c>
    </row>
    <row r="25" spans="1:19" x14ac:dyDescent="0.25">
      <c r="A25">
        <v>28</v>
      </c>
      <c r="B25" t="s">
        <v>31</v>
      </c>
      <c r="C25">
        <v>48447323</v>
      </c>
      <c r="D25">
        <v>12307540</v>
      </c>
      <c r="E25" s="1">
        <f>SUM($D25/$C25)*100</f>
        <v>25.403962980575827</v>
      </c>
      <c r="F25">
        <v>34177713</v>
      </c>
      <c r="G25" s="1">
        <f>SUM($F25/$C25)*100</f>
        <v>70.546133168183516</v>
      </c>
      <c r="H25">
        <v>1962070</v>
      </c>
      <c r="I25" s="1">
        <f>SUM($H25/$C25)*100</f>
        <v>4.0499038512406553</v>
      </c>
      <c r="J25">
        <v>244367</v>
      </c>
      <c r="K25" s="1">
        <f>SUM($J25/$D25)*100</f>
        <v>1.9855064456422649</v>
      </c>
      <c r="L25">
        <v>24126346</v>
      </c>
      <c r="M25">
        <v>19002240</v>
      </c>
      <c r="N25" s="1">
        <f>SUM($M25/$L25)*100</f>
        <v>78.761367345059213</v>
      </c>
      <c r="O25">
        <v>4714212</v>
      </c>
      <c r="P25" s="1">
        <f>SUM($O25/$L25)*100</f>
        <v>19.539684956851733</v>
      </c>
      <c r="Q25">
        <v>409894</v>
      </c>
      <c r="R25" s="1">
        <f>SUM($Q25/$L25)*100</f>
        <v>1.6989476980890519</v>
      </c>
      <c r="S25">
        <v>80.39</v>
      </c>
    </row>
    <row r="26" spans="1:19" x14ac:dyDescent="0.25">
      <c r="A26">
        <v>2</v>
      </c>
      <c r="B26" t="s">
        <v>32</v>
      </c>
      <c r="C26">
        <v>46516230</v>
      </c>
      <c r="D26">
        <v>10423511</v>
      </c>
      <c r="E26" s="1">
        <f>SUM($D26/$C26)*100</f>
        <v>22.408331457643925</v>
      </c>
      <c r="F26">
        <v>33981759</v>
      </c>
      <c r="G26" s="1">
        <f>SUM($F26/$C26)*100</f>
        <v>73.053553566142398</v>
      </c>
      <c r="H26">
        <v>2110960</v>
      </c>
      <c r="I26" s="1">
        <f>SUM($H26/$C26)*100</f>
        <v>4.538114976213679</v>
      </c>
      <c r="J26">
        <v>304824</v>
      </c>
      <c r="K26" s="1">
        <f>SUM($J26/$D26)*100</f>
        <v>2.9243889127185652</v>
      </c>
      <c r="L26">
        <v>20237374</v>
      </c>
      <c r="M26">
        <v>14428317</v>
      </c>
      <c r="N26" s="1">
        <f>SUM($M26/$L26)*100</f>
        <v>71.295401270935642</v>
      </c>
      <c r="O26">
        <v>5319569</v>
      </c>
      <c r="P26" s="1">
        <f>SUM($O26/$L26)*100</f>
        <v>26.285865942883696</v>
      </c>
      <c r="Q26">
        <v>489488</v>
      </c>
      <c r="R26" s="1">
        <f>SUM($Q26/$L26)*100</f>
        <v>2.4187327861806573</v>
      </c>
      <c r="S26">
        <v>84.49</v>
      </c>
    </row>
    <row r="27" spans="1:19" x14ac:dyDescent="0.25">
      <c r="A27">
        <v>7</v>
      </c>
      <c r="B27" t="s">
        <v>32</v>
      </c>
      <c r="C27">
        <v>46711484</v>
      </c>
      <c r="D27">
        <v>14240488</v>
      </c>
      <c r="E27" s="1">
        <f>SUM($D27/$C27)*100</f>
        <v>30.486053493826059</v>
      </c>
      <c r="F27">
        <v>30548951</v>
      </c>
      <c r="G27" s="1">
        <f>SUM($F27/$C27)*100</f>
        <v>65.399230304907462</v>
      </c>
      <c r="H27">
        <v>1922045</v>
      </c>
      <c r="I27" s="1">
        <f>SUM($H27/$C27)*100</f>
        <v>4.1147162012664804</v>
      </c>
      <c r="J27">
        <v>283871</v>
      </c>
      <c r="K27" s="1">
        <f>SUM($J27/$D27)*100</f>
        <v>1.993407810181786</v>
      </c>
      <c r="L27">
        <v>27913234</v>
      </c>
      <c r="M27">
        <v>21838929</v>
      </c>
      <c r="N27" s="1">
        <f>SUM($M27/$L27)*100</f>
        <v>78.238619717084731</v>
      </c>
      <c r="O27">
        <v>5602898</v>
      </c>
      <c r="P27" s="1">
        <f>SUM($O27/$L27)*100</f>
        <v>20.072550532840445</v>
      </c>
      <c r="Q27">
        <v>471407</v>
      </c>
      <c r="R27" s="1">
        <f>SUM($Q27/$L27)*100</f>
        <v>1.6888297500748211</v>
      </c>
      <c r="S27">
        <v>76.62</v>
      </c>
    </row>
    <row r="28" spans="1:19" x14ac:dyDescent="0.25">
      <c r="A28">
        <v>13</v>
      </c>
      <c r="B28" t="s">
        <v>32</v>
      </c>
      <c r="C28">
        <v>44201639</v>
      </c>
      <c r="D28">
        <v>17650067</v>
      </c>
      <c r="E28" s="1">
        <f>SUM($D28/$C28)*100</f>
        <v>39.930797588750046</v>
      </c>
      <c r="F28">
        <v>24696436</v>
      </c>
      <c r="G28" s="1">
        <f>SUM($F28/$C28)*100</f>
        <v>55.872217770024321</v>
      </c>
      <c r="H28">
        <v>1855136</v>
      </c>
      <c r="I28" s="1">
        <f>SUM($H28/$C28)*100</f>
        <v>4.1969846412256349</v>
      </c>
      <c r="J28">
        <v>232970</v>
      </c>
      <c r="K28" s="1">
        <f>SUM($J28/$D28)*100</f>
        <v>1.3199383322454243</v>
      </c>
      <c r="L28">
        <v>34834194</v>
      </c>
      <c r="M28">
        <v>28193471</v>
      </c>
      <c r="N28" s="1">
        <f>SUM($M28/$L28)*100</f>
        <v>80.93619447603696</v>
      </c>
      <c r="O28">
        <v>6087154</v>
      </c>
      <c r="P28" s="1">
        <f>SUM($O28/$L28)*100</f>
        <v>17.474651487558461</v>
      </c>
      <c r="Q28">
        <v>553569</v>
      </c>
      <c r="R28" s="1">
        <f>SUM($Q28/$L28)*100</f>
        <v>1.589154036404574</v>
      </c>
      <c r="S28">
        <v>68.11</v>
      </c>
    </row>
    <row r="29" spans="1:19" x14ac:dyDescent="0.25">
      <c r="A29">
        <v>15</v>
      </c>
      <c r="B29" t="s">
        <v>32</v>
      </c>
      <c r="C29">
        <v>43488345</v>
      </c>
      <c r="D29">
        <v>13169136</v>
      </c>
      <c r="E29" s="1">
        <f>SUM($D29/$C29)*100</f>
        <v>30.281989346800849</v>
      </c>
      <c r="F29">
        <v>28576339</v>
      </c>
      <c r="G29" s="1">
        <f>SUM($F29/$C29)*100</f>
        <v>65.710339172484026</v>
      </c>
      <c r="H29">
        <v>1742870</v>
      </c>
      <c r="I29" s="1">
        <f>SUM($H29/$C29)*100</f>
        <v>4.0076714807151204</v>
      </c>
      <c r="J29">
        <v>261631</v>
      </c>
      <c r="K29" s="1">
        <f>SUM($J29/$D29)*100</f>
        <v>1.9866982921278964</v>
      </c>
      <c r="L29">
        <v>25815010</v>
      </c>
      <c r="M29">
        <v>20097918</v>
      </c>
      <c r="N29" s="1">
        <f>SUM($M29/$L29)*100</f>
        <v>77.853613072394694</v>
      </c>
      <c r="O29">
        <v>5267071</v>
      </c>
      <c r="P29" s="1">
        <f>SUM($O29/$L29)*100</f>
        <v>20.40313368075395</v>
      </c>
      <c r="Q29">
        <v>450021</v>
      </c>
      <c r="R29" s="1">
        <f>SUM($Q29/$L29)*100</f>
        <v>1.7432532468513471</v>
      </c>
      <c r="S29">
        <v>76.89</v>
      </c>
    </row>
    <row r="30" spans="1:19" x14ac:dyDescent="0.25">
      <c r="A30">
        <v>19</v>
      </c>
      <c r="B30" t="s">
        <v>32</v>
      </c>
      <c r="C30">
        <v>41854452</v>
      </c>
      <c r="D30">
        <v>12792246</v>
      </c>
      <c r="E30" s="1">
        <f>SUM($D30/$C30)*100</f>
        <v>30.56364469901553</v>
      </c>
      <c r="F30">
        <v>27509000</v>
      </c>
      <c r="G30" s="1">
        <f>SUM($F30/$C30)*100</f>
        <v>65.725385677012326</v>
      </c>
      <c r="H30">
        <v>1553206</v>
      </c>
      <c r="I30" s="1">
        <f>SUM($H30/$C30)*100</f>
        <v>3.7109696239721406</v>
      </c>
      <c r="J30">
        <v>254616</v>
      </c>
      <c r="K30" s="1">
        <f>SUM($J30/$D30)*100</f>
        <v>1.9903932429066795</v>
      </c>
      <c r="L30">
        <v>25075260</v>
      </c>
      <c r="M30">
        <v>19595908</v>
      </c>
      <c r="N30" s="1">
        <f>SUM($M30/$L30)*100</f>
        <v>78.148374134505488</v>
      </c>
      <c r="O30">
        <v>5046801</v>
      </c>
      <c r="P30" s="1">
        <f>SUM($O30/$L30)*100</f>
        <v>20.126614838689608</v>
      </c>
      <c r="Q30">
        <v>432551</v>
      </c>
      <c r="R30" s="1">
        <f>SUM($Q30/$L30)*100</f>
        <v>1.7250110268049064</v>
      </c>
      <c r="S30">
        <v>76.59</v>
      </c>
    </row>
    <row r="31" spans="1:19" x14ac:dyDescent="0.25">
      <c r="A31">
        <v>20</v>
      </c>
      <c r="B31" t="s">
        <v>32</v>
      </c>
      <c r="C31">
        <v>41933950</v>
      </c>
      <c r="D31">
        <v>17389432</v>
      </c>
      <c r="E31" s="1">
        <f>SUM($D31/$C31)*100</f>
        <v>41.468623871588534</v>
      </c>
      <c r="F31">
        <v>23041683</v>
      </c>
      <c r="G31" s="1">
        <f>SUM($F31/$C31)*100</f>
        <v>54.947561581964024</v>
      </c>
      <c r="H31">
        <v>1502835</v>
      </c>
      <c r="I31" s="1">
        <f>SUM($H31/$C31)*100</f>
        <v>3.5838145464474489</v>
      </c>
      <c r="J31">
        <v>225362</v>
      </c>
      <c r="K31" s="1">
        <f>SUM($J31/$D31)*100</f>
        <v>1.2959710242404698</v>
      </c>
      <c r="L31">
        <v>34328140</v>
      </c>
      <c r="M31">
        <v>27964128</v>
      </c>
      <c r="N31" s="1">
        <f>SUM($M31/$L31)*100</f>
        <v>81.46123850578563</v>
      </c>
      <c r="O31">
        <v>5873409</v>
      </c>
      <c r="P31" s="1">
        <f>SUM($O31/$L31)*100</f>
        <v>17.109604540181902</v>
      </c>
      <c r="Q31">
        <v>490603</v>
      </c>
      <c r="R31" s="1">
        <f>SUM($Q31/$L31)*100</f>
        <v>1.4291569540324642</v>
      </c>
      <c r="S31">
        <v>66.66</v>
      </c>
    </row>
    <row r="32" spans="1:19" x14ac:dyDescent="0.25">
      <c r="A32">
        <v>30</v>
      </c>
      <c r="B32" t="s">
        <v>32</v>
      </c>
      <c r="C32">
        <v>47526689</v>
      </c>
      <c r="D32">
        <v>12263820</v>
      </c>
      <c r="E32" s="1">
        <f>SUM($D32/$C32)*100</f>
        <v>25.804069793290253</v>
      </c>
      <c r="F32">
        <v>33406524</v>
      </c>
      <c r="G32" s="1">
        <f>SUM($F32/$C32)*100</f>
        <v>70.290030092355067</v>
      </c>
      <c r="H32">
        <v>1856345</v>
      </c>
      <c r="I32" s="1">
        <f>SUM($H32/$C32)*100</f>
        <v>3.905900114354695</v>
      </c>
      <c r="J32">
        <v>247897</v>
      </c>
      <c r="K32" s="1">
        <f>SUM($J32/$D32)*100</f>
        <v>2.0213685458527602</v>
      </c>
      <c r="L32">
        <v>24031846</v>
      </c>
      <c r="M32">
        <v>18510357</v>
      </c>
      <c r="N32" s="1">
        <f>SUM($M32/$L32)*100</f>
        <v>77.024282695553225</v>
      </c>
      <c r="O32">
        <v>5042204</v>
      </c>
      <c r="P32" s="1">
        <f>SUM($O32/$L32)*100</f>
        <v>20.981342839830116</v>
      </c>
      <c r="Q32">
        <v>479285</v>
      </c>
      <c r="R32" s="1">
        <f>SUM($Q32/$L32)*100</f>
        <v>1.9943744646166592</v>
      </c>
      <c r="S32">
        <v>80.53</v>
      </c>
    </row>
    <row r="33" spans="1:19" x14ac:dyDescent="0.25">
      <c r="A33">
        <v>31</v>
      </c>
      <c r="B33" t="s">
        <v>32</v>
      </c>
      <c r="C33">
        <v>50960267</v>
      </c>
      <c r="D33">
        <v>19950938</v>
      </c>
      <c r="E33" s="1">
        <f>SUM($D33/$C33)*100</f>
        <v>39.149987185114234</v>
      </c>
      <c r="F33">
        <v>29214233</v>
      </c>
      <c r="G33" s="1">
        <f>SUM($F33/$C33)*100</f>
        <v>57.327472401194449</v>
      </c>
      <c r="H33">
        <v>1795096</v>
      </c>
      <c r="I33" s="1">
        <f>SUM($H33/$C33)*100</f>
        <v>3.5225404136913179</v>
      </c>
      <c r="J33">
        <v>272789</v>
      </c>
      <c r="K33" s="1">
        <f>SUM($J33/$D33)*100</f>
        <v>1.36729912147489</v>
      </c>
      <c r="L33">
        <v>39356298</v>
      </c>
      <c r="M33">
        <v>32160316</v>
      </c>
      <c r="N33" s="1">
        <f>SUM($M33/$L33)*100</f>
        <v>81.715805688837904</v>
      </c>
      <c r="O33">
        <v>6643540</v>
      </c>
      <c r="P33" s="1">
        <f>SUM($O33/$L33)*100</f>
        <v>16.880500295022667</v>
      </c>
      <c r="Q33">
        <v>552442</v>
      </c>
      <c r="R33" s="1">
        <f>SUM($Q33/$L33)*100</f>
        <v>1.4036940161394245</v>
      </c>
      <c r="S33">
        <v>68.45</v>
      </c>
    </row>
  </sheetData>
  <autoFilter ref="A1:S33" xr:uid="{E936D1A8-8689-439A-98DB-CD85A5AE9E02}">
    <sortState xmlns:xlrd2="http://schemas.microsoft.com/office/spreadsheetml/2017/richdata2" ref="A2:S33">
      <sortCondition ref="B1:B33"/>
    </sortState>
  </autoFilter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Analytics</vt:lpstr>
    </vt:vector>
  </TitlesOfParts>
  <Company>University of Aberdeen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Hamish Gruffydd Williams</dc:creator>
  <cp:lastModifiedBy>Hamish Gruffydd Williams</cp:lastModifiedBy>
  <dcterms:created xsi:type="dcterms:W3CDTF">2025-10-01T10:55:55Z</dcterms:created>
  <dcterms:modified xsi:type="dcterms:W3CDTF">2026-01-16T14:10:31Z</dcterms:modified>
</cp:coreProperties>
</file>