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980ed44706d46718/Documents/PhD/Chapter 3 - Multi-Stressor Behavioural Assay/November_Experiment/Data/"/>
    </mc:Choice>
  </mc:AlternateContent>
  <xr:revisionPtr revIDLastSave="49" documentId="8_{61D4980D-11E5-4D33-8E4D-DB31E2E019D1}" xr6:coauthVersionLast="47" xr6:coauthVersionMax="47" xr10:uidLastSave="{A2FFF4FA-6C44-4B4C-9333-1985DF92E0FB}"/>
  <bookViews>
    <workbookView xWindow="-108" yWindow="-108" windowWidth="23256" windowHeight="12456" activeTab="3" xr2:uid="{00000000-000D-0000-FFFF-FFFF00000000}"/>
  </bookViews>
  <sheets>
    <sheet name="RNA column purified -samples 3-" sheetId="1" r:id="rId1"/>
    <sheet name="RNA Concentrations - Post-Colum" sheetId="2" r:id="rId2"/>
    <sheet name="Sheet2" sheetId="3" r:id="rId3"/>
    <sheet name="Sheet1" sheetId="4" r:id="rId4"/>
  </sheets>
  <definedNames>
    <definedName name="_xlchart.v1.0" hidden="1">'RNA Concentrations - Post-Colum'!$C$2:$C$56</definedName>
    <definedName name="_xlchart.v1.1" hidden="1">'RNA Concentrations - Post-Colum'!$E$1</definedName>
    <definedName name="_xlchart.v1.2" hidden="1">'RNA Concentrations - Post-Colum'!$E$2:$E$56</definedName>
    <definedName name="_xlchart.v1.3" hidden="1">'RNA Concentrations - Post-Colum'!$E$1</definedName>
    <definedName name="_xlchart.v1.4" hidden="1">('RNA Concentrations - Post-Colum'!$C$2:$C$9,'RNA Concentrations - Post-Colum'!$C$15:$C$22,'RNA Concentrations - Post-Colum'!$C$28:$C$35,'RNA Concentrations - Post-Colum'!$C$43:$C$50)</definedName>
    <definedName name="_xlchart.v1.5" hidden="1">('RNA Concentrations - Post-Colum'!$E$2:$E$9,'RNA Concentrations - Post-Colum'!$E$15:$E$22,'RNA Concentrations - Post-Colum'!$E$28:$E$35,'RNA Concentrations - Post-Colum'!$E$43:$E$50)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2" i="2"/>
</calcChain>
</file>

<file path=xl/sharedStrings.xml><?xml version="1.0" encoding="utf-8"?>
<sst xmlns="http://schemas.openxmlformats.org/spreadsheetml/2006/main" count="354" uniqueCount="79">
  <si>
    <t>Nucleic Acid(ng/uL)</t>
  </si>
  <si>
    <t>A260/A280</t>
  </si>
  <si>
    <t>A260/A230</t>
  </si>
  <si>
    <t>A260</t>
  </si>
  <si>
    <t>A280</t>
  </si>
  <si>
    <t>Nucleic Acid Factor</t>
  </si>
  <si>
    <t>Baseline Correction (nm)</t>
  </si>
  <si>
    <t>Baseline Absorbance</t>
  </si>
  <si>
    <t>Negative Control</t>
  </si>
  <si>
    <t>-</t>
  </si>
  <si>
    <t>Sample Number</t>
  </si>
  <si>
    <t>Sample ID</t>
  </si>
  <si>
    <t>Condition</t>
  </si>
  <si>
    <t>B</t>
  </si>
  <si>
    <t>D</t>
  </si>
  <si>
    <t>A</t>
  </si>
  <si>
    <t>C</t>
  </si>
  <si>
    <t>Looks like there are no significant differences when looking across groups, and even within the selected samples, there is a no group which looks to have a significant difference, at least by eye. Perhaps A -&gt; B there is a significant difference</t>
  </si>
  <si>
    <t>Sample Number (Eppendorf Label)</t>
  </si>
  <si>
    <t>Sample ID (Rock Pool)</t>
  </si>
  <si>
    <t>Condition (experiment)</t>
  </si>
  <si>
    <t>Sample ID (TRUE)</t>
  </si>
  <si>
    <t>Method for choosing samples to send for sequencing:  1. At least 8 samples from each condition, and then select the top 8 nucleic acid values. 2. Disregarding the "rock pool" number, as it isn't important for what I'm interested in, and there is no way to have each group then have enough RNA per sample for GENEWIZ's requirements; 3. If the A260/230 is too low then I prefer the next best sample with sufficient values across the previously outlined parameters</t>
  </si>
  <si>
    <t>5A</t>
  </si>
  <si>
    <t>8A</t>
  </si>
  <si>
    <t>12A</t>
  </si>
  <si>
    <t>16A</t>
  </si>
  <si>
    <t>22A</t>
  </si>
  <si>
    <t>27A</t>
  </si>
  <si>
    <t>32A</t>
  </si>
  <si>
    <t>34A</t>
  </si>
  <si>
    <t>36A</t>
  </si>
  <si>
    <t>39A</t>
  </si>
  <si>
    <t>40A</t>
  </si>
  <si>
    <t>41A</t>
  </si>
  <si>
    <t>43A</t>
  </si>
  <si>
    <t>1B</t>
  </si>
  <si>
    <t>4B</t>
  </si>
  <si>
    <t>6B</t>
  </si>
  <si>
    <t>9B</t>
  </si>
  <si>
    <t>10B</t>
  </si>
  <si>
    <t>11B</t>
  </si>
  <si>
    <t>17B</t>
  </si>
  <si>
    <t>48B</t>
  </si>
  <si>
    <t>50B</t>
  </si>
  <si>
    <t>51B</t>
  </si>
  <si>
    <t>52B</t>
  </si>
  <si>
    <t>55B</t>
  </si>
  <si>
    <t>57B</t>
  </si>
  <si>
    <t>14C</t>
  </si>
  <si>
    <t>18C</t>
  </si>
  <si>
    <t>21C</t>
  </si>
  <si>
    <t>23C</t>
  </si>
  <si>
    <t>24C</t>
  </si>
  <si>
    <t>25C</t>
  </si>
  <si>
    <t>26C</t>
  </si>
  <si>
    <t>28C</t>
  </si>
  <si>
    <t>35C</t>
  </si>
  <si>
    <t>37C</t>
  </si>
  <si>
    <t>38C</t>
  </si>
  <si>
    <t>44C</t>
  </si>
  <si>
    <t>46C</t>
  </si>
  <si>
    <t>47C</t>
  </si>
  <si>
    <t>56C</t>
  </si>
  <si>
    <t>2D</t>
  </si>
  <si>
    <t>7D</t>
  </si>
  <si>
    <t>13D</t>
  </si>
  <si>
    <t>15D</t>
  </si>
  <si>
    <t>19D</t>
  </si>
  <si>
    <t>20D</t>
  </si>
  <si>
    <t>29D</t>
  </si>
  <si>
    <t>30D</t>
  </si>
  <si>
    <t>31D</t>
  </si>
  <si>
    <t>33D</t>
  </si>
  <si>
    <t>45D</t>
  </si>
  <si>
    <t>49D</t>
  </si>
  <si>
    <t>53D</t>
  </si>
  <si>
    <t>54D</t>
  </si>
  <si>
    <t>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</si>
</sst>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5" tint="-0.249977111117893"/>
      <name val="Aptos Narrow"/>
      <family val="2"/>
      <scheme val="minor"/>
    </font>
    <font>
      <i/>
      <sz val="14"/>
      <color theme="5"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33" borderId="0" xfId="0" applyFill="1"/>
    <xf numFmtId="0" fontId="0" fillId="34" borderId="0" xfId="0" applyFill="1"/>
    <xf numFmtId="0" fontId="18" fillId="0" borderId="0" xfId="0" applyFont="1" applyAlignment="1">
      <alignment vertical="center" wrapText="1"/>
    </xf>
    <xf numFmtId="0" fontId="0" fillId="0" borderId="0" xfId="0" applyAlignment="1">
      <alignment horizontal="center" vertical="center" wrapText="1"/>
    </xf>
    <xf numFmtId="0" fontId="19" fillId="0" borderId="0" xfId="0" applyFont="1" applyAlignment="1">
      <alignment horizontal="center" vertical="center" wrapText="1"/>
    </xf>
    <xf numFmtId="0" fontId="0" fillId="0" borderId="0" xfId="0" applyAlignment="1">
      <alignment horizontal="center"/>
    </xf>
    <xf numFmtId="0" fontId="0" fillId="0" borderId="0" xfId="0" applyAlignment="1">
      <alignment horizontal="right"/>
    </xf>
    <xf numFmtId="0" fontId="16" fillId="0" borderId="0" xfId="0" applyFont="1" applyFill="1" applyBorder="1" applyAlignment="1">
      <alignment horizontal="center" vertical="center"/>
    </xf>
    <xf numFmtId="0" fontId="0" fillId="0" borderId="0" xfId="0" applyFill="1" applyBorder="1" applyAlignment="1">
      <alignment horizontal="center"/>
    </xf>
    <xf numFmtId="0" fontId="0" fillId="0" borderId="0" xfId="0" applyFill="1" applyBorder="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bgColor rgb="FFFEEDB0"/>
        </patternFill>
      </fill>
    </dxf>
    <dxf>
      <fill>
        <patternFill>
          <bgColor rgb="FFFEEDB0"/>
        </patternFill>
      </fill>
    </dxf>
  </dxfs>
  <tableStyles count="0" defaultTableStyle="TableStyleMedium2" defaultPivotStyle="PivotStyleLight16"/>
  <colors>
    <mruColors>
      <color rgb="FFFEED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RNA Nucleic Acid Concentrations Post-Column Purification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RNA Nucleic Acid Concentrations Post-Column Purification</a:t>
          </a:r>
        </a:p>
      </cx:txPr>
    </cx:title>
    <cx:plotArea>
      <cx:plotAreaRegion>
        <cx:series layoutId="boxWhisker" uniqueId="{AF11F466-697D-412D-87A9-7158BC151B33}" formatIdx="1">
          <cx:tx>
            <cx:txData>
              <cx:f>_xlchart.v1.1</cx:f>
              <cx:v>Nucleic Acid(ng/uL)</cx:v>
            </cx:txData>
          </cx:tx>
          <cx:dataId val="0"/>
          <cx:layoutPr>
            <cx:visibility meanLine="0" meanMarker="1" nonoutliers="0" outliers="1"/>
            <cx:statistics quartileMethod="exclusive"/>
          </cx:layoutPr>
        </cx:series>
      </cx:plotAreaRegion>
      <cx:axis id="0">
        <cx:catScaling gapWidth="1"/>
        <cx:title>
          <cx:tx>
            <cx:txData>
              <cx:v>Experimental Condition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Experimental Condition</a:t>
              </a:r>
            </a:p>
          </cx:txPr>
        </cx:title>
        <cx:tickLabels/>
      </cx:axis>
      <cx:axis id="1">
        <cx:valScaling/>
        <cx:title>
          <cx:tx>
            <cx:txData>
              <cx:v>Nucleic Acid (ng/ul)</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Nucleic Acid (ng/ul)</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RNA concentrations for selected samples across groups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RNA concentrations for selected samples across groups</a:t>
          </a:r>
        </a:p>
      </cx:txPr>
    </cx:title>
    <cx:plotArea>
      <cx:plotAreaRegion>
        <cx:series layoutId="boxWhisker" uniqueId="{31944FA2-732B-42AB-A897-B8A99267F518}" formatIdx="1">
          <cx:tx>
            <cx:txData>
              <cx:f>_xlchart.v1.3</cx:f>
              <cx:v>Nucleic Acid(ng/uL)</cx:v>
            </cx:txData>
          </cx:tx>
          <cx:dataId val="0"/>
          <cx:layoutPr>
            <cx:visibility meanLine="0" meanMarker="1" nonoutliers="0" outliers="1"/>
            <cx:statistics quartileMethod="exclusive"/>
          </cx:layoutPr>
        </cx:series>
      </cx:plotAreaRegion>
      <cx:axis id="0">
        <cx:catScaling gapWidth="1"/>
        <cx:title>
          <cx:tx>
            <cx:txData>
              <cx:v>Experimental Condition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Experimental Condition</a:t>
              </a:r>
            </a:p>
          </cx:txPr>
        </cx:title>
        <cx:tickLabels/>
      </cx:axis>
      <cx:axis id="1">
        <cx:valScaling/>
        <cx:title>
          <cx:tx>
            <cx:txData>
              <cx:v>RNA Nucelic Acid Conc (ng/ul)</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RNA Nucelic Acid Conc (ng/ul)</a:t>
              </a:r>
            </a:p>
          </cx:txPr>
        </cx:title>
        <cx:majorGridlines/>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7</xdr:col>
      <xdr:colOff>66675</xdr:colOff>
      <xdr:row>1</xdr:row>
      <xdr:rowOff>14286</xdr:rowOff>
    </xdr:from>
    <xdr:to>
      <xdr:col>13</xdr:col>
      <xdr:colOff>9111</xdr:colOff>
      <xdr:row>17</xdr:row>
      <xdr:rowOff>9525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6D410EA-4C05-1D42-9C84-5F5D088562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38975" y="197166"/>
              <a:ext cx="3600036" cy="292893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9525</xdr:colOff>
      <xdr:row>1</xdr:row>
      <xdr:rowOff>14286</xdr:rowOff>
    </xdr:from>
    <xdr:to>
      <xdr:col>23</xdr:col>
      <xdr:colOff>28575</xdr:colOff>
      <xdr:row>17</xdr:row>
      <xdr:rowOff>9525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B599AB9-C8A7-B6D7-5956-36AFAAF7AE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077825" y="197166"/>
              <a:ext cx="3676650" cy="292893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3F428-721E-446D-B790-4ED74D039BCC}" name="Table1" displayName="Table1" ref="B3:K61" totalsRowShown="0" headerRowDxfId="12" dataDxfId="11" tableBorderDxfId="10">
  <tableColumns count="10">
    <tableColumn id="1" xr3:uid="{80C25E78-DECE-420F-ABC0-6BD8923C9885}" name="Sample ID" dataDxfId="9"/>
    <tableColumn id="2" xr3:uid="{38B19B95-2CC9-444D-A237-96281C2F8370}" name="Treatment" dataDxfId="8"/>
    <tableColumn id="3" xr3:uid="{7BD9A688-C443-4E30-BEF9-A8E2435E2877}" name="Nucleic Acid(ng/uL)" dataDxfId="7"/>
    <tableColumn id="4" xr3:uid="{C1300928-3AE4-4FEF-A50B-7495C80B0F7E}" name="A260/A280" dataDxfId="6"/>
    <tableColumn id="5" xr3:uid="{5F61B514-B14B-4058-B5E7-CD20354C9AA2}" name="A260/A230" dataDxfId="5"/>
    <tableColumn id="6" xr3:uid="{2C6DE79D-FF04-41FB-BF51-B66CE9BE81DB}" name="A260" dataDxfId="4"/>
    <tableColumn id="7" xr3:uid="{D48DFB98-F325-4DA0-B6A3-D057C32ACC1F}" name="A280" dataDxfId="3"/>
    <tableColumn id="8" xr3:uid="{052E9D2E-E86A-42E4-99F7-8AE6B332104B}" name="Nucleic Acid Factor" dataDxfId="2"/>
    <tableColumn id="9" xr3:uid="{6CBEDD61-897D-409E-BA2B-5398FF90EE37}" name="Baseline Correction (nm)" dataDxfId="1"/>
    <tableColumn id="10" xr3:uid="{52F66735-A981-4233-83F6-82FA2FD11C75}" name="Baseline Absorbanc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opLeftCell="A28" zoomScale="70" zoomScaleNormal="70" workbookViewId="0">
      <selection sqref="A1:K59"/>
    </sheetView>
  </sheetViews>
  <sheetFormatPr defaultRowHeight="14.4" x14ac:dyDescent="0.3"/>
  <cols>
    <col min="1" max="1" width="15.5546875" bestFit="1" customWidth="1"/>
    <col min="2" max="2" width="9.88671875" bestFit="1" customWidth="1"/>
    <col min="3" max="3" width="9.5546875" bestFit="1" customWidth="1"/>
    <col min="4" max="4" width="18.5546875" bestFit="1" customWidth="1"/>
    <col min="5" max="6" width="10" bestFit="1" customWidth="1"/>
    <col min="7" max="8" width="6" bestFit="1" customWidth="1"/>
    <col min="9" max="9" width="18.33203125" bestFit="1" customWidth="1"/>
    <col min="10" max="10" width="23.33203125" bestFit="1" customWidth="1"/>
    <col min="11" max="11" width="19.88671875" bestFit="1" customWidth="1"/>
  </cols>
  <sheetData>
    <row r="1" spans="1:11" x14ac:dyDescent="0.3">
      <c r="A1" t="s">
        <v>10</v>
      </c>
      <c r="B1" t="s">
        <v>11</v>
      </c>
      <c r="C1" t="s">
        <v>12</v>
      </c>
      <c r="D1" t="s">
        <v>0</v>
      </c>
      <c r="E1" t="s">
        <v>1</v>
      </c>
      <c r="F1" t="s">
        <v>2</v>
      </c>
      <c r="G1" t="s">
        <v>3</v>
      </c>
      <c r="H1" t="s">
        <v>4</v>
      </c>
      <c r="I1" t="s">
        <v>5</v>
      </c>
      <c r="J1" t="s">
        <v>6</v>
      </c>
      <c r="K1" t="s">
        <v>7</v>
      </c>
    </row>
    <row r="2" spans="1:11" x14ac:dyDescent="0.3">
      <c r="A2" t="s">
        <v>8</v>
      </c>
      <c r="B2">
        <v>0</v>
      </c>
      <c r="C2">
        <v>0</v>
      </c>
      <c r="D2">
        <v>-0.39300000000000002</v>
      </c>
      <c r="E2">
        <v>-0.78500000000000003</v>
      </c>
      <c r="F2">
        <v>0.26700000000000002</v>
      </c>
      <c r="G2">
        <v>-0.01</v>
      </c>
      <c r="H2">
        <v>1.2999999999999999E-2</v>
      </c>
      <c r="I2">
        <v>40</v>
      </c>
      <c r="J2">
        <v>340</v>
      </c>
      <c r="K2">
        <v>-0.25700000000000001</v>
      </c>
    </row>
    <row r="3" spans="1:11" x14ac:dyDescent="0.3">
      <c r="A3">
        <v>3</v>
      </c>
      <c r="B3">
        <v>1</v>
      </c>
      <c r="C3" t="s">
        <v>15</v>
      </c>
      <c r="D3" t="s">
        <v>9</v>
      </c>
      <c r="E3">
        <v>2.0680000000000001</v>
      </c>
      <c r="F3">
        <v>1.91</v>
      </c>
      <c r="G3">
        <v>3.0760000000000001</v>
      </c>
      <c r="H3">
        <v>1.488</v>
      </c>
      <c r="I3">
        <v>40</v>
      </c>
      <c r="J3">
        <v>340</v>
      </c>
      <c r="K3">
        <v>6.8000000000000005E-2</v>
      </c>
    </row>
    <row r="4" spans="1:11" x14ac:dyDescent="0.3">
      <c r="A4">
        <v>5</v>
      </c>
      <c r="B4">
        <v>1</v>
      </c>
      <c r="C4" s="2" t="s">
        <v>15</v>
      </c>
      <c r="D4" s="2">
        <v>123.83199999999999</v>
      </c>
      <c r="E4">
        <v>2.036</v>
      </c>
      <c r="F4">
        <v>1.9119999999999999</v>
      </c>
      <c r="G4">
        <v>1.548</v>
      </c>
      <c r="H4">
        <v>0.76</v>
      </c>
      <c r="I4">
        <v>40</v>
      </c>
      <c r="J4">
        <v>340</v>
      </c>
      <c r="K4">
        <v>-1.2E-2</v>
      </c>
    </row>
    <row r="5" spans="1:11" x14ac:dyDescent="0.3">
      <c r="A5">
        <v>8</v>
      </c>
      <c r="B5">
        <v>1</v>
      </c>
      <c r="C5" s="2" t="s">
        <v>15</v>
      </c>
      <c r="D5" s="2">
        <v>123.04</v>
      </c>
      <c r="E5">
        <v>2.04</v>
      </c>
      <c r="F5">
        <v>1.8620000000000001</v>
      </c>
      <c r="G5">
        <v>4.9009999999999998</v>
      </c>
      <c r="H5">
        <v>2.403</v>
      </c>
      <c r="I5">
        <v>40</v>
      </c>
      <c r="J5">
        <v>340</v>
      </c>
      <c r="K5">
        <v>5.7000000000000002E-2</v>
      </c>
    </row>
    <row r="6" spans="1:11" x14ac:dyDescent="0.3">
      <c r="A6">
        <v>12</v>
      </c>
      <c r="B6">
        <v>1</v>
      </c>
      <c r="C6" s="2" t="s">
        <v>15</v>
      </c>
      <c r="D6" s="2">
        <v>80.835999999999999</v>
      </c>
      <c r="E6">
        <v>2.0150000000000001</v>
      </c>
      <c r="F6">
        <v>1.782</v>
      </c>
      <c r="G6">
        <v>0.96099999999999997</v>
      </c>
      <c r="H6">
        <v>0.47699999999999998</v>
      </c>
      <c r="I6">
        <v>40</v>
      </c>
      <c r="J6">
        <v>340</v>
      </c>
      <c r="K6">
        <v>0.37</v>
      </c>
    </row>
    <row r="7" spans="1:11" x14ac:dyDescent="0.3">
      <c r="A7">
        <v>16</v>
      </c>
      <c r="B7">
        <v>2</v>
      </c>
      <c r="C7" s="2" t="s">
        <v>15</v>
      </c>
      <c r="D7" s="2">
        <v>58.957000000000001</v>
      </c>
      <c r="E7">
        <v>2.0449999999999999</v>
      </c>
      <c r="F7">
        <v>1.925</v>
      </c>
      <c r="G7">
        <v>4.3620000000000001</v>
      </c>
      <c r="H7">
        <v>2.133</v>
      </c>
      <c r="I7">
        <v>40</v>
      </c>
      <c r="J7">
        <v>340</v>
      </c>
      <c r="K7">
        <v>7.1999999999999995E-2</v>
      </c>
    </row>
    <row r="8" spans="1:11" x14ac:dyDescent="0.3">
      <c r="A8">
        <v>22</v>
      </c>
      <c r="B8">
        <v>2</v>
      </c>
      <c r="C8" s="2" t="s">
        <v>15</v>
      </c>
      <c r="D8" s="2">
        <v>56.529000000000003</v>
      </c>
      <c r="E8">
        <v>2.133</v>
      </c>
      <c r="F8">
        <v>2.27</v>
      </c>
      <c r="G8">
        <v>3.0459999999999998</v>
      </c>
      <c r="H8">
        <v>1.4279999999999999</v>
      </c>
      <c r="I8">
        <v>40</v>
      </c>
      <c r="J8">
        <v>340</v>
      </c>
      <c r="K8">
        <v>1.9E-2</v>
      </c>
    </row>
    <row r="9" spans="1:11" x14ac:dyDescent="0.3">
      <c r="A9">
        <v>27</v>
      </c>
      <c r="B9">
        <v>3</v>
      </c>
      <c r="C9" s="2" t="s">
        <v>15</v>
      </c>
      <c r="D9" s="2">
        <v>52.491999999999997</v>
      </c>
      <c r="E9">
        <v>1.944</v>
      </c>
      <c r="F9">
        <v>0.98</v>
      </c>
      <c r="G9">
        <v>0.41399999999999998</v>
      </c>
      <c r="H9">
        <v>0.21299999999999999</v>
      </c>
      <c r="I9">
        <v>40</v>
      </c>
      <c r="J9">
        <v>340</v>
      </c>
      <c r="K9">
        <v>3.9E-2</v>
      </c>
    </row>
    <row r="10" spans="1:11" x14ac:dyDescent="0.3">
      <c r="A10">
        <v>32</v>
      </c>
      <c r="B10">
        <v>3</v>
      </c>
      <c r="C10" s="2" t="s">
        <v>15</v>
      </c>
      <c r="D10" s="2">
        <v>50.476999999999997</v>
      </c>
      <c r="E10">
        <v>1.8720000000000001</v>
      </c>
      <c r="F10">
        <v>0.71099999999999997</v>
      </c>
      <c r="G10">
        <v>0.30099999999999999</v>
      </c>
      <c r="H10">
        <v>0.161</v>
      </c>
      <c r="I10">
        <v>40</v>
      </c>
      <c r="J10">
        <v>340</v>
      </c>
      <c r="K10">
        <v>0.68500000000000005</v>
      </c>
    </row>
    <row r="11" spans="1:11" x14ac:dyDescent="0.3">
      <c r="A11">
        <v>34</v>
      </c>
      <c r="B11">
        <v>3</v>
      </c>
      <c r="C11" s="2" t="s">
        <v>15</v>
      </c>
      <c r="D11" s="2">
        <v>49.127000000000002</v>
      </c>
      <c r="E11">
        <v>1.944</v>
      </c>
      <c r="F11">
        <v>1.0329999999999999</v>
      </c>
      <c r="G11">
        <v>0.51600000000000001</v>
      </c>
      <c r="H11">
        <v>0.26500000000000001</v>
      </c>
      <c r="I11">
        <v>40</v>
      </c>
      <c r="J11">
        <v>340</v>
      </c>
      <c r="K11">
        <v>0.27400000000000002</v>
      </c>
    </row>
    <row r="12" spans="1:11" x14ac:dyDescent="0.3">
      <c r="A12">
        <v>36</v>
      </c>
      <c r="B12">
        <v>3</v>
      </c>
      <c r="C12" t="s">
        <v>15</v>
      </c>
      <c r="D12">
        <v>41.097000000000001</v>
      </c>
      <c r="E12">
        <v>1.9339999999999999</v>
      </c>
      <c r="F12">
        <v>1.054</v>
      </c>
      <c r="G12">
        <v>1.1819999999999999</v>
      </c>
      <c r="H12">
        <v>0.61099999999999999</v>
      </c>
      <c r="I12">
        <v>40</v>
      </c>
      <c r="J12">
        <v>340</v>
      </c>
      <c r="K12">
        <v>0.41199999999999998</v>
      </c>
    </row>
    <row r="13" spans="1:11" x14ac:dyDescent="0.3">
      <c r="A13">
        <v>39</v>
      </c>
      <c r="B13">
        <v>4</v>
      </c>
      <c r="C13" t="s">
        <v>15</v>
      </c>
      <c r="D13">
        <v>32.170999999999999</v>
      </c>
      <c r="E13">
        <v>2.0390000000000001</v>
      </c>
      <c r="F13">
        <v>1.4590000000000001</v>
      </c>
      <c r="G13">
        <v>1.474</v>
      </c>
      <c r="H13">
        <v>0.72299999999999998</v>
      </c>
      <c r="I13">
        <v>40</v>
      </c>
      <c r="J13">
        <v>340</v>
      </c>
      <c r="K13">
        <v>0.26600000000000001</v>
      </c>
    </row>
    <row r="14" spans="1:11" x14ac:dyDescent="0.3">
      <c r="A14">
        <v>40</v>
      </c>
      <c r="B14">
        <v>4</v>
      </c>
      <c r="C14" t="s">
        <v>15</v>
      </c>
      <c r="D14">
        <v>29.018999999999998</v>
      </c>
      <c r="E14">
        <v>2.0129999999999999</v>
      </c>
      <c r="F14">
        <v>1.23</v>
      </c>
      <c r="G14">
        <v>0.51100000000000001</v>
      </c>
      <c r="H14">
        <v>0.254</v>
      </c>
      <c r="I14">
        <v>40</v>
      </c>
      <c r="J14">
        <v>340</v>
      </c>
      <c r="K14">
        <v>8.3000000000000004E-2</v>
      </c>
    </row>
    <row r="15" spans="1:11" x14ac:dyDescent="0.3">
      <c r="A15">
        <v>41</v>
      </c>
      <c r="B15">
        <v>4</v>
      </c>
      <c r="C15" t="s">
        <v>15</v>
      </c>
      <c r="D15">
        <v>28.59</v>
      </c>
      <c r="E15">
        <v>2.0489999999999999</v>
      </c>
      <c r="F15">
        <v>1.5309999999999999</v>
      </c>
      <c r="G15">
        <v>1.075</v>
      </c>
      <c r="H15">
        <v>0.52500000000000002</v>
      </c>
      <c r="I15">
        <v>40</v>
      </c>
      <c r="J15">
        <v>340</v>
      </c>
      <c r="K15">
        <v>2.8000000000000001E-2</v>
      </c>
    </row>
    <row r="16" spans="1:11" x14ac:dyDescent="0.3">
      <c r="A16">
        <v>42</v>
      </c>
      <c r="B16">
        <v>5</v>
      </c>
      <c r="C16" t="s">
        <v>15</v>
      </c>
      <c r="D16">
        <v>17.757000000000001</v>
      </c>
      <c r="E16" t="s">
        <v>9</v>
      </c>
      <c r="F16" t="s">
        <v>9</v>
      </c>
      <c r="G16" t="s">
        <v>9</v>
      </c>
      <c r="H16" t="s">
        <v>9</v>
      </c>
      <c r="I16" t="s">
        <v>9</v>
      </c>
      <c r="J16" t="s">
        <v>9</v>
      </c>
      <c r="K16" t="s">
        <v>9</v>
      </c>
    </row>
    <row r="17" spans="1:11" x14ac:dyDescent="0.3">
      <c r="A17">
        <v>43</v>
      </c>
      <c r="B17">
        <v>5</v>
      </c>
      <c r="C17" t="s">
        <v>15</v>
      </c>
      <c r="D17">
        <v>16.552</v>
      </c>
      <c r="E17">
        <v>2.0409999999999999</v>
      </c>
      <c r="F17">
        <v>1.462</v>
      </c>
      <c r="G17">
        <v>0.90400000000000003</v>
      </c>
      <c r="H17">
        <v>0.443</v>
      </c>
      <c r="I17">
        <v>40</v>
      </c>
      <c r="J17">
        <v>340</v>
      </c>
      <c r="K17">
        <v>3.0000000000000001E-3</v>
      </c>
    </row>
    <row r="18" spans="1:11" x14ac:dyDescent="0.3">
      <c r="A18">
        <v>1</v>
      </c>
      <c r="B18">
        <v>5</v>
      </c>
      <c r="C18" s="2" t="s">
        <v>13</v>
      </c>
      <c r="D18" s="2">
        <v>257.084</v>
      </c>
      <c r="E18">
        <v>2.04</v>
      </c>
      <c r="F18">
        <v>1.75</v>
      </c>
      <c r="G18" t="s">
        <v>9</v>
      </c>
      <c r="H18" t="s">
        <v>9</v>
      </c>
      <c r="I18" t="s">
        <v>9</v>
      </c>
      <c r="J18" t="s">
        <v>9</v>
      </c>
      <c r="K18" t="s">
        <v>9</v>
      </c>
    </row>
    <row r="19" spans="1:11" x14ac:dyDescent="0.3">
      <c r="A19">
        <v>4</v>
      </c>
      <c r="B19">
        <v>5</v>
      </c>
      <c r="C19" s="2" t="s">
        <v>13</v>
      </c>
      <c r="D19" s="2">
        <v>174.48400000000001</v>
      </c>
      <c r="E19">
        <v>2.0579999999999998</v>
      </c>
      <c r="F19">
        <v>1.972</v>
      </c>
      <c r="G19">
        <v>2.028</v>
      </c>
      <c r="H19">
        <v>0.98499999999999999</v>
      </c>
      <c r="I19">
        <v>40</v>
      </c>
      <c r="J19">
        <v>340</v>
      </c>
      <c r="K19">
        <v>2.3E-2</v>
      </c>
    </row>
    <row r="20" spans="1:11" x14ac:dyDescent="0.3">
      <c r="A20">
        <v>6</v>
      </c>
      <c r="B20">
        <v>6</v>
      </c>
      <c r="C20" s="2" t="s">
        <v>13</v>
      </c>
      <c r="D20" s="2">
        <v>123.601</v>
      </c>
      <c r="E20">
        <v>1.841</v>
      </c>
      <c r="F20">
        <v>1.292</v>
      </c>
      <c r="G20">
        <v>0.44400000000000001</v>
      </c>
      <c r="H20">
        <v>0.24099999999999999</v>
      </c>
      <c r="I20">
        <v>40</v>
      </c>
      <c r="J20">
        <v>340</v>
      </c>
      <c r="K20">
        <v>-3.1E-2</v>
      </c>
    </row>
    <row r="21" spans="1:11" x14ac:dyDescent="0.3">
      <c r="A21">
        <v>9</v>
      </c>
      <c r="B21">
        <v>6</v>
      </c>
      <c r="C21" s="2" t="s">
        <v>13</v>
      </c>
      <c r="D21" s="2">
        <v>76.531999999999996</v>
      </c>
      <c r="E21">
        <v>1.98</v>
      </c>
      <c r="F21">
        <v>1.7150000000000001</v>
      </c>
      <c r="G21">
        <v>1.8029999999999999</v>
      </c>
      <c r="H21">
        <v>0.91100000000000003</v>
      </c>
      <c r="I21">
        <v>40</v>
      </c>
      <c r="J21">
        <v>340</v>
      </c>
      <c r="K21">
        <v>0.02</v>
      </c>
    </row>
    <row r="22" spans="1:11" x14ac:dyDescent="0.3">
      <c r="A22">
        <v>10</v>
      </c>
      <c r="B22">
        <v>6</v>
      </c>
      <c r="C22" s="2" t="s">
        <v>13</v>
      </c>
      <c r="D22" s="2">
        <v>72.108000000000004</v>
      </c>
      <c r="E22">
        <v>2.024</v>
      </c>
      <c r="F22">
        <v>1.895</v>
      </c>
      <c r="G22">
        <v>2.79</v>
      </c>
      <c r="H22">
        <v>1.379</v>
      </c>
      <c r="I22">
        <v>40</v>
      </c>
      <c r="J22">
        <v>340</v>
      </c>
      <c r="K22">
        <v>-3.0000000000000001E-3</v>
      </c>
    </row>
    <row r="23" spans="1:11" x14ac:dyDescent="0.3">
      <c r="A23">
        <v>11</v>
      </c>
      <c r="B23">
        <v>6</v>
      </c>
      <c r="C23" s="2" t="s">
        <v>13</v>
      </c>
      <c r="D23" s="2">
        <v>61.91</v>
      </c>
      <c r="E23">
        <v>2.0249999999999999</v>
      </c>
      <c r="F23">
        <v>1.7709999999999999</v>
      </c>
      <c r="G23">
        <v>3.6419999999999999</v>
      </c>
      <c r="H23">
        <v>1.7989999999999999</v>
      </c>
      <c r="I23">
        <v>40</v>
      </c>
      <c r="J23">
        <v>340</v>
      </c>
      <c r="K23">
        <v>6.9000000000000006E-2</v>
      </c>
    </row>
    <row r="24" spans="1:11" x14ac:dyDescent="0.3">
      <c r="A24">
        <v>17</v>
      </c>
      <c r="B24">
        <v>7</v>
      </c>
      <c r="C24" s="2" t="s">
        <v>13</v>
      </c>
      <c r="D24" s="2">
        <v>53.323</v>
      </c>
      <c r="E24">
        <v>2.0499999999999998</v>
      </c>
      <c r="F24">
        <v>1.948</v>
      </c>
      <c r="G24">
        <v>3.0960000000000001</v>
      </c>
      <c r="H24">
        <v>1.51</v>
      </c>
      <c r="I24">
        <v>40</v>
      </c>
      <c r="J24">
        <v>340</v>
      </c>
      <c r="K24">
        <v>8.9999999999999993E-3</v>
      </c>
    </row>
    <row r="25" spans="1:11" x14ac:dyDescent="0.3">
      <c r="A25">
        <v>48</v>
      </c>
      <c r="B25">
        <v>7</v>
      </c>
      <c r="C25" s="2" t="s">
        <v>13</v>
      </c>
      <c r="D25" s="2">
        <v>44.994999999999997</v>
      </c>
      <c r="E25">
        <v>10.491</v>
      </c>
      <c r="F25">
        <v>-6.1269999999999998</v>
      </c>
      <c r="G25">
        <v>0.497</v>
      </c>
      <c r="H25">
        <v>4.7E-2</v>
      </c>
      <c r="I25">
        <v>40</v>
      </c>
      <c r="J25">
        <v>340</v>
      </c>
      <c r="K25">
        <v>25.356999999999999</v>
      </c>
    </row>
    <row r="26" spans="1:11" x14ac:dyDescent="0.3">
      <c r="A26">
        <v>50</v>
      </c>
      <c r="B26">
        <v>7</v>
      </c>
      <c r="C26" t="s">
        <v>13</v>
      </c>
      <c r="D26">
        <v>40.409999999999997</v>
      </c>
      <c r="E26">
        <v>2.0449999999999999</v>
      </c>
      <c r="F26">
        <v>1.67</v>
      </c>
      <c r="G26">
        <v>1.464</v>
      </c>
      <c r="H26">
        <v>0.71599999999999997</v>
      </c>
      <c r="I26">
        <v>40</v>
      </c>
      <c r="J26">
        <v>340</v>
      </c>
      <c r="K26">
        <v>-6.0000000000000001E-3</v>
      </c>
    </row>
    <row r="27" spans="1:11" x14ac:dyDescent="0.3">
      <c r="A27">
        <v>51</v>
      </c>
      <c r="B27">
        <v>7</v>
      </c>
      <c r="C27" t="s">
        <v>13</v>
      </c>
      <c r="D27">
        <v>38.652999999999999</v>
      </c>
      <c r="E27">
        <v>2.101</v>
      </c>
      <c r="F27">
        <v>2.0049999999999999</v>
      </c>
      <c r="G27">
        <v>1.2969999999999999</v>
      </c>
      <c r="H27">
        <v>0.61699999999999999</v>
      </c>
      <c r="I27">
        <v>40</v>
      </c>
      <c r="J27">
        <v>340</v>
      </c>
      <c r="K27">
        <v>-1.6E-2</v>
      </c>
    </row>
    <row r="28" spans="1:11" x14ac:dyDescent="0.3">
      <c r="A28">
        <v>52</v>
      </c>
      <c r="B28">
        <v>8</v>
      </c>
      <c r="C28" t="s">
        <v>13</v>
      </c>
      <c r="D28">
        <v>36.161000000000001</v>
      </c>
      <c r="E28">
        <v>1.9970000000000001</v>
      </c>
      <c r="F28">
        <v>1.6459999999999999</v>
      </c>
      <c r="G28">
        <v>0.72499999999999998</v>
      </c>
      <c r="H28">
        <v>0.36299999999999999</v>
      </c>
      <c r="I28">
        <v>40</v>
      </c>
      <c r="J28">
        <v>340</v>
      </c>
      <c r="K28">
        <v>-2.5999999999999999E-2</v>
      </c>
    </row>
    <row r="29" spans="1:11" x14ac:dyDescent="0.3">
      <c r="A29">
        <v>55</v>
      </c>
      <c r="B29">
        <v>8</v>
      </c>
      <c r="C29" t="s">
        <v>13</v>
      </c>
      <c r="D29">
        <v>19.896000000000001</v>
      </c>
      <c r="E29">
        <v>2.0379999999999998</v>
      </c>
      <c r="F29">
        <v>1.9410000000000001</v>
      </c>
      <c r="G29">
        <v>3.09</v>
      </c>
      <c r="H29">
        <v>1.516</v>
      </c>
      <c r="I29">
        <v>40</v>
      </c>
      <c r="J29">
        <v>340</v>
      </c>
      <c r="K29">
        <v>-8.0000000000000002E-3</v>
      </c>
    </row>
    <row r="30" spans="1:11" x14ac:dyDescent="0.3">
      <c r="A30">
        <v>57</v>
      </c>
      <c r="B30">
        <v>8</v>
      </c>
      <c r="C30" t="s">
        <v>13</v>
      </c>
      <c r="D30">
        <v>12.045</v>
      </c>
      <c r="E30">
        <v>2.0609999999999999</v>
      </c>
      <c r="F30">
        <v>2.125</v>
      </c>
      <c r="G30">
        <v>4.1219999999999999</v>
      </c>
      <c r="H30">
        <v>2</v>
      </c>
      <c r="I30">
        <v>40</v>
      </c>
      <c r="J30">
        <v>340</v>
      </c>
      <c r="K30">
        <v>-1.7999999999999999E-2</v>
      </c>
    </row>
    <row r="31" spans="1:11" x14ac:dyDescent="0.3">
      <c r="A31">
        <v>14</v>
      </c>
      <c r="B31">
        <v>8</v>
      </c>
      <c r="C31" s="2" t="s">
        <v>16</v>
      </c>
      <c r="D31" s="2">
        <v>196.024</v>
      </c>
      <c r="E31">
        <v>2.0249999999999999</v>
      </c>
      <c r="F31">
        <v>1.8420000000000001</v>
      </c>
      <c r="G31">
        <v>1.1519999999999999</v>
      </c>
      <c r="H31">
        <v>0.56899999999999995</v>
      </c>
      <c r="I31">
        <v>40</v>
      </c>
      <c r="J31">
        <v>340</v>
      </c>
      <c r="K31">
        <v>-8.0000000000000002E-3</v>
      </c>
    </row>
    <row r="32" spans="1:11" x14ac:dyDescent="0.3">
      <c r="A32">
        <v>18</v>
      </c>
      <c r="B32">
        <v>9</v>
      </c>
      <c r="C32" s="2" t="s">
        <v>16</v>
      </c>
      <c r="D32" s="2">
        <v>164.87100000000001</v>
      </c>
      <c r="E32">
        <v>2.0019999999999998</v>
      </c>
      <c r="F32">
        <v>1.8380000000000001</v>
      </c>
      <c r="G32">
        <v>1.228</v>
      </c>
      <c r="H32">
        <v>0.61399999999999999</v>
      </c>
      <c r="I32">
        <v>40</v>
      </c>
      <c r="J32">
        <v>340</v>
      </c>
      <c r="K32">
        <v>-0.01</v>
      </c>
    </row>
    <row r="33" spans="1:11" x14ac:dyDescent="0.3">
      <c r="A33">
        <v>21</v>
      </c>
      <c r="B33">
        <v>9</v>
      </c>
      <c r="C33" s="2" t="s">
        <v>16</v>
      </c>
      <c r="D33" s="2">
        <v>112.71299999999999</v>
      </c>
      <c r="E33">
        <v>1.839</v>
      </c>
      <c r="F33">
        <v>1.9910000000000001</v>
      </c>
      <c r="G33">
        <v>0.96599999999999997</v>
      </c>
      <c r="H33">
        <v>0.52600000000000002</v>
      </c>
      <c r="I33">
        <v>40</v>
      </c>
      <c r="J33">
        <v>340</v>
      </c>
      <c r="K33">
        <v>-0.35399999999999998</v>
      </c>
    </row>
    <row r="34" spans="1:11" x14ac:dyDescent="0.3">
      <c r="A34">
        <v>23</v>
      </c>
      <c r="B34">
        <v>9</v>
      </c>
      <c r="C34" s="2" t="s">
        <v>16</v>
      </c>
      <c r="D34" s="2">
        <v>111.592</v>
      </c>
      <c r="E34">
        <v>2.1019999999999999</v>
      </c>
      <c r="F34">
        <v>2.137</v>
      </c>
      <c r="G34">
        <v>2.8180000000000001</v>
      </c>
      <c r="H34">
        <v>1.34</v>
      </c>
      <c r="I34">
        <v>40</v>
      </c>
      <c r="J34">
        <v>340</v>
      </c>
      <c r="K34">
        <v>0.109</v>
      </c>
    </row>
    <row r="35" spans="1:11" x14ac:dyDescent="0.3">
      <c r="A35">
        <v>24</v>
      </c>
      <c r="B35">
        <v>9</v>
      </c>
      <c r="C35" s="2" t="s">
        <v>16</v>
      </c>
      <c r="D35" s="2">
        <v>89.100999999999999</v>
      </c>
      <c r="E35">
        <v>2.044</v>
      </c>
      <c r="F35">
        <v>2.0499999999999998</v>
      </c>
      <c r="G35">
        <v>1.9259999999999999</v>
      </c>
      <c r="H35">
        <v>0.94199999999999995</v>
      </c>
      <c r="I35">
        <v>40</v>
      </c>
      <c r="J35">
        <v>340</v>
      </c>
      <c r="K35">
        <v>2.5999999999999999E-2</v>
      </c>
    </row>
    <row r="36" spans="1:11" x14ac:dyDescent="0.3">
      <c r="A36">
        <v>25</v>
      </c>
      <c r="B36">
        <v>10</v>
      </c>
      <c r="C36" s="2" t="s">
        <v>16</v>
      </c>
      <c r="D36" s="2">
        <v>81.787999999999997</v>
      </c>
      <c r="E36">
        <v>2.0179999999999998</v>
      </c>
      <c r="F36">
        <v>1.7629999999999999</v>
      </c>
      <c r="G36">
        <v>2.0209999999999999</v>
      </c>
      <c r="H36">
        <v>1.0009999999999999</v>
      </c>
      <c r="I36">
        <v>40</v>
      </c>
      <c r="J36">
        <v>340</v>
      </c>
      <c r="K36">
        <v>0.151</v>
      </c>
    </row>
    <row r="37" spans="1:11" x14ac:dyDescent="0.3">
      <c r="A37">
        <v>26</v>
      </c>
      <c r="B37">
        <v>10</v>
      </c>
      <c r="C37" s="2" t="s">
        <v>16</v>
      </c>
      <c r="D37" s="2">
        <v>58.557000000000002</v>
      </c>
      <c r="E37">
        <v>2.0430000000000001</v>
      </c>
      <c r="F37">
        <v>1.915</v>
      </c>
      <c r="G37">
        <v>1.125</v>
      </c>
      <c r="H37">
        <v>0.55100000000000005</v>
      </c>
      <c r="I37">
        <v>40</v>
      </c>
      <c r="J37">
        <v>340</v>
      </c>
      <c r="K37">
        <v>1.2E-2</v>
      </c>
    </row>
    <row r="38" spans="1:11" x14ac:dyDescent="0.3">
      <c r="A38">
        <v>28</v>
      </c>
      <c r="B38">
        <v>10</v>
      </c>
      <c r="C38" s="2" t="s">
        <v>16</v>
      </c>
      <c r="D38" s="2">
        <v>52.893000000000001</v>
      </c>
      <c r="E38">
        <v>2.0430000000000001</v>
      </c>
      <c r="F38">
        <v>1.819</v>
      </c>
      <c r="G38">
        <v>1.145</v>
      </c>
      <c r="H38">
        <v>0.56000000000000005</v>
      </c>
      <c r="I38">
        <v>40</v>
      </c>
      <c r="J38">
        <v>340</v>
      </c>
      <c r="K38">
        <v>0.13800000000000001</v>
      </c>
    </row>
    <row r="39" spans="1:11" x14ac:dyDescent="0.3">
      <c r="A39">
        <v>35</v>
      </c>
      <c r="B39">
        <v>10</v>
      </c>
      <c r="C39" t="s">
        <v>16</v>
      </c>
      <c r="D39">
        <v>45.790999999999997</v>
      </c>
      <c r="E39">
        <v>1.9990000000000001</v>
      </c>
      <c r="F39">
        <v>1.5469999999999999</v>
      </c>
      <c r="G39">
        <v>0.71599999999999997</v>
      </c>
      <c r="H39">
        <v>0.35799999999999998</v>
      </c>
      <c r="I39">
        <v>40</v>
      </c>
      <c r="J39">
        <v>340</v>
      </c>
      <c r="K39">
        <v>4.9000000000000002E-2</v>
      </c>
    </row>
    <row r="40" spans="1:11" x14ac:dyDescent="0.3">
      <c r="A40">
        <v>37</v>
      </c>
      <c r="B40">
        <v>11</v>
      </c>
      <c r="C40" t="s">
        <v>16</v>
      </c>
      <c r="D40">
        <v>37.396999999999998</v>
      </c>
      <c r="E40">
        <v>2.0659999999999998</v>
      </c>
      <c r="F40">
        <v>1.585</v>
      </c>
      <c r="G40">
        <v>1.413</v>
      </c>
      <c r="H40">
        <v>0.68400000000000005</v>
      </c>
      <c r="I40">
        <v>40</v>
      </c>
      <c r="J40">
        <v>340</v>
      </c>
      <c r="K40">
        <v>0.13400000000000001</v>
      </c>
    </row>
    <row r="41" spans="1:11" x14ac:dyDescent="0.3">
      <c r="A41">
        <v>38</v>
      </c>
      <c r="B41">
        <v>11</v>
      </c>
      <c r="C41" t="s">
        <v>16</v>
      </c>
      <c r="D41">
        <v>30</v>
      </c>
      <c r="E41">
        <v>2.016</v>
      </c>
      <c r="F41">
        <v>1.375</v>
      </c>
      <c r="G41">
        <v>1.333</v>
      </c>
      <c r="H41">
        <v>0.66100000000000003</v>
      </c>
      <c r="I41">
        <v>40</v>
      </c>
      <c r="J41">
        <v>340</v>
      </c>
      <c r="K41">
        <v>0.41799999999999998</v>
      </c>
    </row>
    <row r="42" spans="1:11" x14ac:dyDescent="0.3">
      <c r="A42">
        <v>44</v>
      </c>
      <c r="B42">
        <v>11</v>
      </c>
      <c r="C42" t="s">
        <v>16</v>
      </c>
      <c r="D42">
        <v>23.004000000000001</v>
      </c>
      <c r="E42">
        <v>2.0499999999999998</v>
      </c>
      <c r="F42">
        <v>1.9870000000000001</v>
      </c>
      <c r="G42">
        <v>2.0449999999999999</v>
      </c>
      <c r="H42">
        <v>0.998</v>
      </c>
      <c r="I42">
        <v>40</v>
      </c>
      <c r="J42">
        <v>340</v>
      </c>
      <c r="K42">
        <v>0.04</v>
      </c>
    </row>
    <row r="43" spans="1:11" x14ac:dyDescent="0.3">
      <c r="A43">
        <v>46</v>
      </c>
      <c r="B43">
        <v>12</v>
      </c>
      <c r="C43" t="s">
        <v>16</v>
      </c>
      <c r="D43">
        <v>21.010999999999999</v>
      </c>
      <c r="E43">
        <v>2.0390000000000001</v>
      </c>
      <c r="F43">
        <v>1.885</v>
      </c>
      <c r="G43">
        <v>1.3120000000000001</v>
      </c>
      <c r="H43">
        <v>0.64300000000000002</v>
      </c>
      <c r="I43">
        <v>40</v>
      </c>
      <c r="J43">
        <v>340</v>
      </c>
      <c r="K43">
        <v>0.01</v>
      </c>
    </row>
    <row r="44" spans="1:11" x14ac:dyDescent="0.3">
      <c r="A44">
        <v>47</v>
      </c>
      <c r="B44">
        <v>12</v>
      </c>
      <c r="C44" t="s">
        <v>16</v>
      </c>
      <c r="D44">
        <v>20.635999999999999</v>
      </c>
      <c r="E44">
        <v>2.0750000000000002</v>
      </c>
      <c r="F44">
        <v>2.0499999999999998</v>
      </c>
      <c r="G44">
        <v>6.4269999999999996</v>
      </c>
      <c r="H44">
        <v>3.097</v>
      </c>
      <c r="I44">
        <v>40</v>
      </c>
      <c r="J44">
        <v>340</v>
      </c>
      <c r="K44">
        <v>3.7999999999999999E-2</v>
      </c>
    </row>
    <row r="45" spans="1:11" x14ac:dyDescent="0.3">
      <c r="A45">
        <v>56</v>
      </c>
      <c r="B45">
        <v>12</v>
      </c>
      <c r="C45" t="s">
        <v>16</v>
      </c>
      <c r="D45">
        <v>20.422000000000001</v>
      </c>
      <c r="E45">
        <v>1.982</v>
      </c>
      <c r="F45">
        <v>1.726</v>
      </c>
      <c r="G45">
        <v>1.3220000000000001</v>
      </c>
      <c r="H45">
        <v>0.66700000000000004</v>
      </c>
      <c r="I45">
        <v>40</v>
      </c>
      <c r="J45">
        <v>340</v>
      </c>
      <c r="K45">
        <v>-0.02</v>
      </c>
    </row>
    <row r="46" spans="1:11" x14ac:dyDescent="0.3">
      <c r="A46">
        <v>2</v>
      </c>
      <c r="B46">
        <v>12</v>
      </c>
      <c r="C46" s="2" t="s">
        <v>14</v>
      </c>
      <c r="D46" s="2">
        <v>145.667</v>
      </c>
      <c r="E46">
        <v>2.0699999999999998</v>
      </c>
      <c r="F46">
        <v>1.81</v>
      </c>
      <c r="G46" t="s">
        <v>9</v>
      </c>
      <c r="H46" t="s">
        <v>9</v>
      </c>
      <c r="I46" t="s">
        <v>9</v>
      </c>
      <c r="J46" t="s">
        <v>9</v>
      </c>
      <c r="K46" t="s">
        <v>9</v>
      </c>
    </row>
    <row r="47" spans="1:11" x14ac:dyDescent="0.3">
      <c r="A47">
        <v>7</v>
      </c>
      <c r="B47">
        <v>13</v>
      </c>
      <c r="C47" s="2" t="s">
        <v>14</v>
      </c>
      <c r="D47" s="2">
        <v>142.14500000000001</v>
      </c>
      <c r="E47">
        <v>1.9950000000000001</v>
      </c>
      <c r="F47">
        <v>1.72</v>
      </c>
      <c r="G47">
        <v>1.0269999999999999</v>
      </c>
      <c r="H47">
        <v>0.51500000000000001</v>
      </c>
      <c r="I47">
        <v>40</v>
      </c>
      <c r="J47">
        <v>340</v>
      </c>
      <c r="K47">
        <v>-3.3000000000000002E-2</v>
      </c>
    </row>
    <row r="48" spans="1:11" x14ac:dyDescent="0.3">
      <c r="A48">
        <v>13</v>
      </c>
      <c r="B48">
        <v>13</v>
      </c>
      <c r="C48" s="2" t="s">
        <v>14</v>
      </c>
      <c r="D48" s="2">
        <v>121.837</v>
      </c>
      <c r="E48">
        <v>1.923</v>
      </c>
      <c r="F48">
        <v>1.6759999999999999</v>
      </c>
      <c r="G48">
        <v>0.57499999999999996</v>
      </c>
      <c r="H48">
        <v>0.29899999999999999</v>
      </c>
      <c r="I48">
        <v>40</v>
      </c>
      <c r="J48">
        <v>340</v>
      </c>
      <c r="K48">
        <v>-2.8000000000000001E-2</v>
      </c>
    </row>
    <row r="49" spans="1:11" x14ac:dyDescent="0.3">
      <c r="A49">
        <v>15</v>
      </c>
      <c r="B49">
        <v>14</v>
      </c>
      <c r="C49" s="2" t="s">
        <v>14</v>
      </c>
      <c r="D49" s="2">
        <v>81.103999999999999</v>
      </c>
      <c r="E49">
        <v>2.0059999999999998</v>
      </c>
      <c r="F49">
        <v>1.7230000000000001</v>
      </c>
      <c r="G49">
        <v>1.262</v>
      </c>
      <c r="H49">
        <v>0.629</v>
      </c>
      <c r="I49">
        <v>40</v>
      </c>
      <c r="J49">
        <v>340</v>
      </c>
      <c r="K49">
        <v>-2E-3</v>
      </c>
    </row>
    <row r="50" spans="1:11" x14ac:dyDescent="0.3">
      <c r="A50">
        <v>19</v>
      </c>
      <c r="B50">
        <v>14</v>
      </c>
      <c r="C50" s="2" t="s">
        <v>14</v>
      </c>
      <c r="D50" s="2">
        <v>77.024000000000001</v>
      </c>
      <c r="E50">
        <v>2.052</v>
      </c>
      <c r="F50">
        <v>1.986</v>
      </c>
      <c r="G50">
        <v>1.913</v>
      </c>
      <c r="H50">
        <v>0.93200000000000005</v>
      </c>
      <c r="I50">
        <v>40</v>
      </c>
      <c r="J50">
        <v>340</v>
      </c>
      <c r="K50">
        <v>-8.0000000000000002E-3</v>
      </c>
    </row>
    <row r="51" spans="1:11" x14ac:dyDescent="0.3">
      <c r="A51">
        <v>20</v>
      </c>
      <c r="B51">
        <v>14</v>
      </c>
      <c r="C51" s="2" t="s">
        <v>14</v>
      </c>
      <c r="D51" s="2">
        <v>72.787000000000006</v>
      </c>
      <c r="E51">
        <v>1.982</v>
      </c>
      <c r="F51">
        <v>1.8979999999999999</v>
      </c>
      <c r="G51">
        <v>0.93500000000000005</v>
      </c>
      <c r="H51">
        <v>0.47199999999999998</v>
      </c>
      <c r="I51">
        <v>40</v>
      </c>
      <c r="J51">
        <v>340</v>
      </c>
      <c r="K51">
        <v>-2.9000000000000001E-2</v>
      </c>
    </row>
    <row r="52" spans="1:11" x14ac:dyDescent="0.3">
      <c r="A52">
        <v>29</v>
      </c>
      <c r="B52">
        <v>14</v>
      </c>
      <c r="C52" s="2" t="s">
        <v>14</v>
      </c>
      <c r="D52" s="2">
        <v>51.87</v>
      </c>
      <c r="E52">
        <v>1.6679999999999999</v>
      </c>
      <c r="F52">
        <v>0.36599999999999999</v>
      </c>
      <c r="G52">
        <v>0.40300000000000002</v>
      </c>
      <c r="H52">
        <v>0.24199999999999999</v>
      </c>
      <c r="I52">
        <v>40</v>
      </c>
      <c r="J52">
        <v>340</v>
      </c>
      <c r="K52">
        <v>8.5000000000000006E-2</v>
      </c>
    </row>
    <row r="53" spans="1:11" x14ac:dyDescent="0.3">
      <c r="A53">
        <v>30</v>
      </c>
      <c r="B53">
        <v>15</v>
      </c>
      <c r="C53" s="2" t="s">
        <v>14</v>
      </c>
      <c r="D53" s="2">
        <v>47.298999999999999</v>
      </c>
      <c r="E53">
        <v>1.988</v>
      </c>
      <c r="F53">
        <v>1.282</v>
      </c>
      <c r="G53">
        <v>0.71499999999999997</v>
      </c>
      <c r="H53">
        <v>0.35899999999999999</v>
      </c>
      <c r="I53">
        <v>40</v>
      </c>
      <c r="J53">
        <v>340</v>
      </c>
      <c r="K53">
        <v>4.1000000000000002E-2</v>
      </c>
    </row>
    <row r="54" spans="1:11" x14ac:dyDescent="0.3">
      <c r="A54">
        <v>31</v>
      </c>
      <c r="B54">
        <v>15</v>
      </c>
      <c r="C54" t="s">
        <v>14</v>
      </c>
      <c r="D54">
        <v>46.097000000000001</v>
      </c>
      <c r="E54">
        <v>2.0139999999999998</v>
      </c>
      <c r="F54">
        <v>1.3620000000000001</v>
      </c>
      <c r="G54">
        <v>1.01</v>
      </c>
      <c r="H54">
        <v>0.502</v>
      </c>
      <c r="I54">
        <v>40</v>
      </c>
      <c r="J54">
        <v>340</v>
      </c>
      <c r="K54">
        <v>0.249</v>
      </c>
    </row>
    <row r="55" spans="1:11" x14ac:dyDescent="0.3">
      <c r="A55">
        <v>33</v>
      </c>
      <c r="B55">
        <v>15</v>
      </c>
      <c r="C55" t="s">
        <v>14</v>
      </c>
      <c r="D55">
        <v>42.996000000000002</v>
      </c>
      <c r="E55">
        <v>2.0419999999999998</v>
      </c>
      <c r="F55">
        <v>1.2949999999999999</v>
      </c>
      <c r="G55">
        <v>0.52500000000000002</v>
      </c>
      <c r="H55">
        <v>0.25700000000000001</v>
      </c>
      <c r="I55">
        <v>40</v>
      </c>
      <c r="J55">
        <v>340</v>
      </c>
      <c r="K55">
        <v>2.7E-2</v>
      </c>
    </row>
    <row r="56" spans="1:11" x14ac:dyDescent="0.3">
      <c r="A56">
        <v>45</v>
      </c>
      <c r="B56">
        <v>15</v>
      </c>
      <c r="C56" t="s">
        <v>14</v>
      </c>
      <c r="D56">
        <v>38.442999999999998</v>
      </c>
      <c r="E56">
        <v>2.0379999999999998</v>
      </c>
      <c r="F56">
        <v>1.948</v>
      </c>
      <c r="G56">
        <v>1.82</v>
      </c>
      <c r="H56">
        <v>0.89300000000000002</v>
      </c>
      <c r="I56">
        <v>40</v>
      </c>
      <c r="J56">
        <v>340</v>
      </c>
      <c r="K56">
        <v>1.9E-2</v>
      </c>
    </row>
    <row r="57" spans="1:11" x14ac:dyDescent="0.3">
      <c r="A57">
        <v>49</v>
      </c>
      <c r="B57">
        <v>16</v>
      </c>
      <c r="C57" t="s">
        <v>14</v>
      </c>
      <c r="D57">
        <v>33.799999999999997</v>
      </c>
      <c r="E57">
        <v>2.0150000000000001</v>
      </c>
      <c r="F57">
        <v>1.427</v>
      </c>
      <c r="G57">
        <v>0.80400000000000005</v>
      </c>
      <c r="H57">
        <v>0.39900000000000002</v>
      </c>
      <c r="I57">
        <v>40</v>
      </c>
      <c r="J57">
        <v>340</v>
      </c>
      <c r="K57">
        <v>0.03</v>
      </c>
    </row>
    <row r="58" spans="1:11" x14ac:dyDescent="0.3">
      <c r="A58">
        <v>53</v>
      </c>
      <c r="B58">
        <v>16</v>
      </c>
      <c r="C58" t="s">
        <v>14</v>
      </c>
      <c r="D58">
        <v>28.635000000000002</v>
      </c>
      <c r="E58">
        <v>2.089</v>
      </c>
      <c r="F58">
        <v>2.0219999999999998</v>
      </c>
      <c r="G58">
        <v>2.2280000000000002</v>
      </c>
      <c r="H58">
        <v>1.0660000000000001</v>
      </c>
      <c r="I58">
        <v>40</v>
      </c>
      <c r="J58">
        <v>340</v>
      </c>
      <c r="K58">
        <v>1.4999999999999999E-2</v>
      </c>
    </row>
    <row r="59" spans="1:11" x14ac:dyDescent="0.3">
      <c r="A59">
        <v>54</v>
      </c>
      <c r="B59">
        <v>16</v>
      </c>
      <c r="C59" t="s">
        <v>14</v>
      </c>
      <c r="D59">
        <v>16.126000000000001</v>
      </c>
      <c r="E59">
        <v>2.0579999999999998</v>
      </c>
      <c r="F59">
        <v>2.08</v>
      </c>
      <c r="G59">
        <v>3.5539999999999998</v>
      </c>
      <c r="H59">
        <v>1.7270000000000001</v>
      </c>
      <c r="I59">
        <v>40</v>
      </c>
      <c r="J59">
        <v>340</v>
      </c>
      <c r="K59">
        <v>-1.6E-2</v>
      </c>
    </row>
  </sheetData>
  <sortState xmlns:xlrd2="http://schemas.microsoft.com/office/spreadsheetml/2017/richdata2" ref="C2:D61">
    <sortCondition ref="C2:C61"/>
    <sortCondition descending="1" ref="D2:D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6"/>
  <sheetViews>
    <sheetView zoomScale="85" zoomScaleNormal="85" workbookViewId="0">
      <selection activeCell="E2" sqref="E2"/>
    </sheetView>
  </sheetViews>
  <sheetFormatPr defaultRowHeight="14.4" x14ac:dyDescent="0.3"/>
  <cols>
    <col min="1" max="1" width="15.33203125" bestFit="1" customWidth="1"/>
    <col min="2" max="2" width="20.6640625" bestFit="1" customWidth="1"/>
    <col min="3" max="3" width="21.5546875" bestFit="1" customWidth="1"/>
    <col min="4" max="4" width="16.33203125" bestFit="1" customWidth="1"/>
    <col min="5" max="5" width="17.6640625" bestFit="1" customWidth="1"/>
    <col min="6" max="6" width="10.21875" bestFit="1" customWidth="1"/>
    <col min="7" max="7" width="10" bestFit="1" customWidth="1"/>
  </cols>
  <sheetData>
    <row r="1" spans="1:17" x14ac:dyDescent="0.3">
      <c r="A1" t="s">
        <v>18</v>
      </c>
      <c r="B1" t="s">
        <v>19</v>
      </c>
      <c r="C1" t="s">
        <v>20</v>
      </c>
      <c r="D1" t="s">
        <v>21</v>
      </c>
      <c r="E1" t="s">
        <v>0</v>
      </c>
      <c r="F1" t="s">
        <v>1</v>
      </c>
      <c r="G1" t="s">
        <v>2</v>
      </c>
    </row>
    <row r="2" spans="1:17" ht="15" customHeight="1" x14ac:dyDescent="0.3">
      <c r="A2">
        <v>5</v>
      </c>
      <c r="B2">
        <v>1</v>
      </c>
      <c r="C2" s="2" t="s">
        <v>15</v>
      </c>
      <c r="D2" t="str">
        <f>_xlfn.TEXTJOIN("",TRUE,A2,C2)</f>
        <v>5A</v>
      </c>
      <c r="E2" s="2">
        <v>123.83199999999999</v>
      </c>
      <c r="F2">
        <v>2.036</v>
      </c>
      <c r="G2">
        <v>1.9119999999999999</v>
      </c>
      <c r="N2" s="4" t="s">
        <v>17</v>
      </c>
      <c r="O2" s="4"/>
      <c r="P2" s="4"/>
      <c r="Q2" s="4"/>
    </row>
    <row r="3" spans="1:17" x14ac:dyDescent="0.3">
      <c r="A3">
        <v>8</v>
      </c>
      <c r="B3">
        <v>1</v>
      </c>
      <c r="C3" s="2" t="s">
        <v>15</v>
      </c>
      <c r="D3" t="str">
        <f t="shared" ref="D3:D56" si="0">_xlfn.TEXTJOIN("",TRUE,A3,C3)</f>
        <v>8A</v>
      </c>
      <c r="E3" s="2">
        <v>123.04</v>
      </c>
      <c r="F3">
        <v>2.04</v>
      </c>
      <c r="G3">
        <v>1.8620000000000001</v>
      </c>
      <c r="N3" s="4"/>
      <c r="O3" s="4"/>
      <c r="P3" s="4"/>
      <c r="Q3" s="4"/>
    </row>
    <row r="4" spans="1:17" x14ac:dyDescent="0.3">
      <c r="A4">
        <v>12</v>
      </c>
      <c r="B4">
        <v>1</v>
      </c>
      <c r="C4" s="2" t="s">
        <v>15</v>
      </c>
      <c r="D4" t="str">
        <f t="shared" si="0"/>
        <v>12A</v>
      </c>
      <c r="E4" s="2">
        <v>80.835999999999999</v>
      </c>
      <c r="F4">
        <v>2.0150000000000001</v>
      </c>
      <c r="G4">
        <v>1.782</v>
      </c>
      <c r="N4" s="4"/>
      <c r="O4" s="4"/>
      <c r="P4" s="4"/>
      <c r="Q4" s="4"/>
    </row>
    <row r="5" spans="1:17" x14ac:dyDescent="0.3">
      <c r="A5">
        <v>16</v>
      </c>
      <c r="B5">
        <v>2</v>
      </c>
      <c r="C5" s="2" t="s">
        <v>15</v>
      </c>
      <c r="D5" t="str">
        <f t="shared" si="0"/>
        <v>16A</v>
      </c>
      <c r="E5" s="2">
        <v>58.957000000000001</v>
      </c>
      <c r="F5">
        <v>2.0449999999999999</v>
      </c>
      <c r="G5">
        <v>1.925</v>
      </c>
      <c r="N5" s="4"/>
      <c r="O5" s="4"/>
      <c r="P5" s="4"/>
      <c r="Q5" s="4"/>
    </row>
    <row r="6" spans="1:17" x14ac:dyDescent="0.3">
      <c r="A6">
        <v>22</v>
      </c>
      <c r="B6">
        <v>2</v>
      </c>
      <c r="C6" s="2" t="s">
        <v>15</v>
      </c>
      <c r="D6" t="str">
        <f t="shared" si="0"/>
        <v>22A</v>
      </c>
      <c r="E6" s="2">
        <v>56.529000000000003</v>
      </c>
      <c r="F6">
        <v>2.133</v>
      </c>
      <c r="G6">
        <v>2.27</v>
      </c>
      <c r="N6" s="4"/>
      <c r="O6" s="4"/>
      <c r="P6" s="4"/>
      <c r="Q6" s="4"/>
    </row>
    <row r="7" spans="1:17" x14ac:dyDescent="0.3">
      <c r="A7">
        <v>27</v>
      </c>
      <c r="B7">
        <v>3</v>
      </c>
      <c r="C7" s="2" t="s">
        <v>15</v>
      </c>
      <c r="D7" t="str">
        <f t="shared" si="0"/>
        <v>27A</v>
      </c>
      <c r="E7" s="2">
        <v>52.491999999999997</v>
      </c>
      <c r="F7">
        <v>1.944</v>
      </c>
      <c r="G7">
        <v>0.98</v>
      </c>
      <c r="N7" s="4"/>
      <c r="O7" s="4"/>
      <c r="P7" s="4"/>
      <c r="Q7" s="4"/>
    </row>
    <row r="8" spans="1:17" x14ac:dyDescent="0.3">
      <c r="A8">
        <v>32</v>
      </c>
      <c r="B8">
        <v>3</v>
      </c>
      <c r="C8" s="2" t="s">
        <v>15</v>
      </c>
      <c r="D8" t="str">
        <f t="shared" si="0"/>
        <v>32A</v>
      </c>
      <c r="E8" s="2">
        <v>50.476999999999997</v>
      </c>
      <c r="F8">
        <v>1.8720000000000001</v>
      </c>
      <c r="G8">
        <v>0.71099999999999997</v>
      </c>
      <c r="N8" s="4"/>
      <c r="O8" s="4"/>
      <c r="P8" s="4"/>
      <c r="Q8" s="4"/>
    </row>
    <row r="9" spans="1:17" x14ac:dyDescent="0.3">
      <c r="A9">
        <v>34</v>
      </c>
      <c r="B9">
        <v>3</v>
      </c>
      <c r="C9" s="2" t="s">
        <v>15</v>
      </c>
      <c r="D9" t="str">
        <f t="shared" si="0"/>
        <v>34A</v>
      </c>
      <c r="E9" s="2">
        <v>49.127000000000002</v>
      </c>
      <c r="F9">
        <v>1.944</v>
      </c>
      <c r="G9">
        <v>1.0329999999999999</v>
      </c>
      <c r="N9" s="4"/>
      <c r="O9" s="4"/>
      <c r="P9" s="4"/>
      <c r="Q9" s="4"/>
    </row>
    <row r="10" spans="1:17" x14ac:dyDescent="0.3">
      <c r="A10">
        <v>36</v>
      </c>
      <c r="B10">
        <v>3</v>
      </c>
      <c r="C10" t="s">
        <v>15</v>
      </c>
      <c r="D10" t="str">
        <f t="shared" si="0"/>
        <v>36A</v>
      </c>
      <c r="E10">
        <v>41.097000000000001</v>
      </c>
      <c r="F10">
        <v>1.9339999999999999</v>
      </c>
      <c r="G10">
        <v>1.054</v>
      </c>
      <c r="N10" s="4"/>
      <c r="O10" s="4"/>
      <c r="P10" s="4"/>
      <c r="Q10" s="4"/>
    </row>
    <row r="11" spans="1:17" x14ac:dyDescent="0.3">
      <c r="A11">
        <v>39</v>
      </c>
      <c r="B11">
        <v>4</v>
      </c>
      <c r="C11" t="s">
        <v>15</v>
      </c>
      <c r="D11" t="str">
        <f t="shared" si="0"/>
        <v>39A</v>
      </c>
      <c r="E11">
        <v>32.170999999999999</v>
      </c>
      <c r="F11">
        <v>2.0390000000000001</v>
      </c>
      <c r="G11">
        <v>1.4590000000000001</v>
      </c>
      <c r="N11" s="4"/>
      <c r="O11" s="4"/>
      <c r="P11" s="4"/>
      <c r="Q11" s="4"/>
    </row>
    <row r="12" spans="1:17" x14ac:dyDescent="0.3">
      <c r="A12">
        <v>40</v>
      </c>
      <c r="B12">
        <v>4</v>
      </c>
      <c r="C12" t="s">
        <v>15</v>
      </c>
      <c r="D12" t="str">
        <f t="shared" si="0"/>
        <v>40A</v>
      </c>
      <c r="E12">
        <v>29.018999999999998</v>
      </c>
      <c r="F12">
        <v>2.0129999999999999</v>
      </c>
      <c r="G12">
        <v>1.23</v>
      </c>
      <c r="N12" s="4"/>
      <c r="O12" s="4"/>
      <c r="P12" s="4"/>
      <c r="Q12" s="4"/>
    </row>
    <row r="13" spans="1:17" x14ac:dyDescent="0.3">
      <c r="A13">
        <v>41</v>
      </c>
      <c r="B13">
        <v>4</v>
      </c>
      <c r="C13" t="s">
        <v>15</v>
      </c>
      <c r="D13" t="str">
        <f t="shared" si="0"/>
        <v>41A</v>
      </c>
      <c r="E13">
        <v>28.59</v>
      </c>
      <c r="F13">
        <v>2.0489999999999999</v>
      </c>
      <c r="G13">
        <v>1.5309999999999999</v>
      </c>
      <c r="N13" s="4"/>
      <c r="O13" s="4"/>
      <c r="P13" s="4"/>
      <c r="Q13" s="4"/>
    </row>
    <row r="14" spans="1:17" x14ac:dyDescent="0.3">
      <c r="A14">
        <v>43</v>
      </c>
      <c r="B14">
        <v>5</v>
      </c>
      <c r="C14" t="s">
        <v>15</v>
      </c>
      <c r="D14" t="str">
        <f t="shared" si="0"/>
        <v>43A</v>
      </c>
      <c r="E14">
        <v>16.552</v>
      </c>
      <c r="F14">
        <v>2.0409999999999999</v>
      </c>
      <c r="G14">
        <v>1.462</v>
      </c>
      <c r="N14" s="4"/>
      <c r="O14" s="4"/>
      <c r="P14" s="4"/>
      <c r="Q14" s="4"/>
    </row>
    <row r="15" spans="1:17" x14ac:dyDescent="0.3">
      <c r="A15">
        <v>1</v>
      </c>
      <c r="B15">
        <v>5</v>
      </c>
      <c r="C15" s="2" t="s">
        <v>13</v>
      </c>
      <c r="D15" t="str">
        <f t="shared" si="0"/>
        <v>1B</v>
      </c>
      <c r="E15" s="2">
        <v>257.084</v>
      </c>
      <c r="F15">
        <v>2.04</v>
      </c>
      <c r="G15">
        <v>1.75</v>
      </c>
      <c r="N15" s="4"/>
      <c r="O15" s="4"/>
      <c r="P15" s="4"/>
      <c r="Q15" s="4"/>
    </row>
    <row r="16" spans="1:17" x14ac:dyDescent="0.3">
      <c r="A16">
        <v>4</v>
      </c>
      <c r="B16">
        <v>5</v>
      </c>
      <c r="C16" s="2" t="s">
        <v>13</v>
      </c>
      <c r="D16" t="str">
        <f t="shared" si="0"/>
        <v>4B</v>
      </c>
      <c r="E16" s="2">
        <v>174.48400000000001</v>
      </c>
      <c r="F16">
        <v>2.0579999999999998</v>
      </c>
      <c r="G16">
        <v>1.972</v>
      </c>
      <c r="N16" s="4"/>
      <c r="O16" s="4"/>
      <c r="P16" s="4"/>
      <c r="Q16" s="4"/>
    </row>
    <row r="17" spans="1:17" x14ac:dyDescent="0.3">
      <c r="A17">
        <v>6</v>
      </c>
      <c r="B17">
        <v>6</v>
      </c>
      <c r="C17" s="2" t="s">
        <v>13</v>
      </c>
      <c r="D17" t="str">
        <f t="shared" si="0"/>
        <v>6B</v>
      </c>
      <c r="E17" s="2">
        <v>123.601</v>
      </c>
      <c r="F17">
        <v>1.841</v>
      </c>
      <c r="G17">
        <v>1.292</v>
      </c>
      <c r="N17" s="4"/>
      <c r="O17" s="4"/>
      <c r="P17" s="4"/>
      <c r="Q17" s="4"/>
    </row>
    <row r="18" spans="1:17" x14ac:dyDescent="0.3">
      <c r="A18">
        <v>9</v>
      </c>
      <c r="B18">
        <v>6</v>
      </c>
      <c r="C18" s="2" t="s">
        <v>13</v>
      </c>
      <c r="D18" t="str">
        <f t="shared" si="0"/>
        <v>9B</v>
      </c>
      <c r="E18" s="2">
        <v>76.531999999999996</v>
      </c>
      <c r="F18">
        <v>1.98</v>
      </c>
      <c r="G18">
        <v>1.7150000000000001</v>
      </c>
    </row>
    <row r="19" spans="1:17" ht="15" customHeight="1" x14ac:dyDescent="0.3">
      <c r="A19">
        <v>10</v>
      </c>
      <c r="B19">
        <v>6</v>
      </c>
      <c r="C19" s="2" t="s">
        <v>13</v>
      </c>
      <c r="D19" t="str">
        <f t="shared" si="0"/>
        <v>10B</v>
      </c>
      <c r="E19" s="2">
        <v>72.108000000000004</v>
      </c>
      <c r="F19">
        <v>2.024</v>
      </c>
      <c r="G19">
        <v>1.895</v>
      </c>
      <c r="H19" s="5" t="s">
        <v>22</v>
      </c>
      <c r="I19" s="5"/>
      <c r="J19" s="5"/>
      <c r="K19" s="5"/>
      <c r="L19" s="5"/>
      <c r="M19" s="5"/>
    </row>
    <row r="20" spans="1:17" ht="15" customHeight="1" x14ac:dyDescent="0.3">
      <c r="A20">
        <v>11</v>
      </c>
      <c r="B20">
        <v>6</v>
      </c>
      <c r="C20" s="2" t="s">
        <v>13</v>
      </c>
      <c r="D20" t="str">
        <f t="shared" si="0"/>
        <v>11B</v>
      </c>
      <c r="E20" s="2">
        <v>61.91</v>
      </c>
      <c r="F20">
        <v>2.0249999999999999</v>
      </c>
      <c r="G20">
        <v>1.7709999999999999</v>
      </c>
      <c r="H20" s="5"/>
      <c r="I20" s="5"/>
      <c r="J20" s="5"/>
      <c r="K20" s="5"/>
      <c r="L20" s="5"/>
      <c r="M20" s="5"/>
    </row>
    <row r="21" spans="1:17" ht="15" customHeight="1" x14ac:dyDescent="0.3">
      <c r="A21">
        <v>17</v>
      </c>
      <c r="B21">
        <v>7</v>
      </c>
      <c r="C21" s="2" t="s">
        <v>13</v>
      </c>
      <c r="D21" t="str">
        <f t="shared" si="0"/>
        <v>17B</v>
      </c>
      <c r="E21" s="2">
        <v>53.323</v>
      </c>
      <c r="F21">
        <v>2.0499999999999998</v>
      </c>
      <c r="G21">
        <v>1.948</v>
      </c>
      <c r="H21" s="5"/>
      <c r="I21" s="5"/>
      <c r="J21" s="5"/>
      <c r="K21" s="5"/>
      <c r="L21" s="5"/>
      <c r="M21" s="5"/>
    </row>
    <row r="22" spans="1:17" ht="15" customHeight="1" x14ac:dyDescent="0.3">
      <c r="A22" s="1">
        <v>48</v>
      </c>
      <c r="B22" s="1">
        <v>7</v>
      </c>
      <c r="C22" s="1" t="s">
        <v>13</v>
      </c>
      <c r="D22" s="1" t="str">
        <f t="shared" si="0"/>
        <v>48B</v>
      </c>
      <c r="E22" s="1">
        <v>44.994999999999997</v>
      </c>
      <c r="F22" s="1">
        <v>10.491</v>
      </c>
      <c r="G22" s="1">
        <v>-6.1269999999999998</v>
      </c>
      <c r="H22" s="5"/>
      <c r="I22" s="5"/>
      <c r="J22" s="5"/>
      <c r="K22" s="5"/>
      <c r="L22" s="5"/>
      <c r="M22" s="5"/>
    </row>
    <row r="23" spans="1:17" ht="15" customHeight="1" x14ac:dyDescent="0.3">
      <c r="A23">
        <v>50</v>
      </c>
      <c r="B23">
        <v>7</v>
      </c>
      <c r="C23" s="2" t="s">
        <v>13</v>
      </c>
      <c r="D23" t="str">
        <f t="shared" si="0"/>
        <v>50B</v>
      </c>
      <c r="E23" s="2">
        <v>40.409999999999997</v>
      </c>
      <c r="F23">
        <v>2.0449999999999999</v>
      </c>
      <c r="G23">
        <v>1.67</v>
      </c>
      <c r="H23" s="5"/>
      <c r="I23" s="5"/>
      <c r="J23" s="5"/>
      <c r="K23" s="5"/>
      <c r="L23" s="5"/>
      <c r="M23" s="5"/>
    </row>
    <row r="24" spans="1:17" ht="15" customHeight="1" x14ac:dyDescent="0.3">
      <c r="A24">
        <v>51</v>
      </c>
      <c r="B24">
        <v>7</v>
      </c>
      <c r="C24" t="s">
        <v>13</v>
      </c>
      <c r="D24" t="str">
        <f t="shared" si="0"/>
        <v>51B</v>
      </c>
      <c r="E24">
        <v>38.652999999999999</v>
      </c>
      <c r="F24">
        <v>2.101</v>
      </c>
      <c r="G24">
        <v>2.0049999999999999</v>
      </c>
      <c r="H24" s="5"/>
      <c r="I24" s="5"/>
      <c r="J24" s="5"/>
      <c r="K24" s="5"/>
      <c r="L24" s="5"/>
      <c r="M24" s="5"/>
    </row>
    <row r="25" spans="1:17" ht="15" customHeight="1" x14ac:dyDescent="0.3">
      <c r="A25">
        <v>52</v>
      </c>
      <c r="B25">
        <v>8</v>
      </c>
      <c r="C25" t="s">
        <v>13</v>
      </c>
      <c r="D25" t="str">
        <f t="shared" si="0"/>
        <v>52B</v>
      </c>
      <c r="E25">
        <v>36.161000000000001</v>
      </c>
      <c r="F25">
        <v>1.9970000000000001</v>
      </c>
      <c r="G25">
        <v>1.6459999999999999</v>
      </c>
      <c r="H25" s="5"/>
      <c r="I25" s="5"/>
      <c r="J25" s="5"/>
      <c r="K25" s="5"/>
      <c r="L25" s="5"/>
      <c r="M25" s="5"/>
    </row>
    <row r="26" spans="1:17" ht="15" customHeight="1" x14ac:dyDescent="0.3">
      <c r="A26">
        <v>55</v>
      </c>
      <c r="B26">
        <v>8</v>
      </c>
      <c r="C26" t="s">
        <v>13</v>
      </c>
      <c r="D26" t="str">
        <f t="shared" si="0"/>
        <v>55B</v>
      </c>
      <c r="E26">
        <v>19.896000000000001</v>
      </c>
      <c r="F26">
        <v>2.0379999999999998</v>
      </c>
      <c r="G26">
        <v>1.9410000000000001</v>
      </c>
      <c r="H26" s="5"/>
      <c r="I26" s="5"/>
      <c r="J26" s="5"/>
      <c r="K26" s="5"/>
      <c r="L26" s="5"/>
      <c r="M26" s="5"/>
    </row>
    <row r="27" spans="1:17" ht="15" customHeight="1" x14ac:dyDescent="0.3">
      <c r="A27">
        <v>57</v>
      </c>
      <c r="B27">
        <v>8</v>
      </c>
      <c r="C27" t="s">
        <v>13</v>
      </c>
      <c r="D27" t="str">
        <f t="shared" si="0"/>
        <v>57B</v>
      </c>
      <c r="E27">
        <v>12.045</v>
      </c>
      <c r="F27">
        <v>2.0609999999999999</v>
      </c>
      <c r="G27">
        <v>2.125</v>
      </c>
      <c r="H27" s="5"/>
      <c r="I27" s="5"/>
      <c r="J27" s="5"/>
      <c r="K27" s="5"/>
      <c r="L27" s="5"/>
      <c r="M27" s="5"/>
    </row>
    <row r="28" spans="1:17" ht="15" customHeight="1" x14ac:dyDescent="0.3">
      <c r="A28">
        <v>14</v>
      </c>
      <c r="B28">
        <v>8</v>
      </c>
      <c r="C28" s="2" t="s">
        <v>16</v>
      </c>
      <c r="D28" t="str">
        <f t="shared" si="0"/>
        <v>14C</v>
      </c>
      <c r="E28" s="2">
        <v>196.024</v>
      </c>
      <c r="F28">
        <v>2.0249999999999999</v>
      </c>
      <c r="G28">
        <v>1.8420000000000001</v>
      </c>
      <c r="H28" s="5"/>
      <c r="I28" s="5"/>
      <c r="J28" s="5"/>
      <c r="K28" s="5"/>
      <c r="L28" s="5"/>
      <c r="M28" s="5"/>
    </row>
    <row r="29" spans="1:17" ht="15" customHeight="1" x14ac:dyDescent="0.3">
      <c r="A29">
        <v>18</v>
      </c>
      <c r="B29">
        <v>9</v>
      </c>
      <c r="C29" s="2" t="s">
        <v>16</v>
      </c>
      <c r="D29" t="str">
        <f t="shared" si="0"/>
        <v>18C</v>
      </c>
      <c r="E29" s="2">
        <v>164.87100000000001</v>
      </c>
      <c r="F29">
        <v>2.0019999999999998</v>
      </c>
      <c r="G29">
        <v>1.8380000000000001</v>
      </c>
      <c r="H29" s="5"/>
      <c r="I29" s="5"/>
      <c r="J29" s="5"/>
      <c r="K29" s="5"/>
      <c r="L29" s="5"/>
      <c r="M29" s="5"/>
    </row>
    <row r="30" spans="1:17" ht="15" customHeight="1" x14ac:dyDescent="0.3">
      <c r="A30">
        <v>21</v>
      </c>
      <c r="B30">
        <v>9</v>
      </c>
      <c r="C30" s="2" t="s">
        <v>16</v>
      </c>
      <c r="D30" t="str">
        <f t="shared" si="0"/>
        <v>21C</v>
      </c>
      <c r="E30" s="2">
        <v>112.71299999999999</v>
      </c>
      <c r="F30">
        <v>1.839</v>
      </c>
      <c r="G30">
        <v>1.9910000000000001</v>
      </c>
      <c r="H30" s="5"/>
      <c r="I30" s="5"/>
      <c r="J30" s="5"/>
      <c r="K30" s="5"/>
      <c r="L30" s="5"/>
      <c r="M30" s="5"/>
    </row>
    <row r="31" spans="1:17" ht="15" customHeight="1" x14ac:dyDescent="0.3">
      <c r="A31">
        <v>23</v>
      </c>
      <c r="B31">
        <v>9</v>
      </c>
      <c r="C31" s="2" t="s">
        <v>16</v>
      </c>
      <c r="D31" t="str">
        <f t="shared" si="0"/>
        <v>23C</v>
      </c>
      <c r="E31" s="2">
        <v>111.592</v>
      </c>
      <c r="F31">
        <v>2.1019999999999999</v>
      </c>
      <c r="G31">
        <v>2.137</v>
      </c>
      <c r="H31" s="5"/>
      <c r="I31" s="5"/>
      <c r="J31" s="5"/>
      <c r="K31" s="5"/>
      <c r="L31" s="5"/>
      <c r="M31" s="5"/>
    </row>
    <row r="32" spans="1:17" ht="15" customHeight="1" x14ac:dyDescent="0.3">
      <c r="A32">
        <v>24</v>
      </c>
      <c r="B32">
        <v>9</v>
      </c>
      <c r="C32" s="2" t="s">
        <v>16</v>
      </c>
      <c r="D32" t="str">
        <f t="shared" si="0"/>
        <v>24C</v>
      </c>
      <c r="E32" s="2">
        <v>89.100999999999999</v>
      </c>
      <c r="F32">
        <v>2.044</v>
      </c>
      <c r="G32">
        <v>2.0499999999999998</v>
      </c>
      <c r="H32" s="5"/>
      <c r="I32" s="5"/>
      <c r="J32" s="5"/>
      <c r="K32" s="5"/>
      <c r="L32" s="5"/>
      <c r="M32" s="5"/>
    </row>
    <row r="33" spans="1:13" ht="15" customHeight="1" x14ac:dyDescent="0.3">
      <c r="A33">
        <v>25</v>
      </c>
      <c r="B33">
        <v>10</v>
      </c>
      <c r="C33" s="2" t="s">
        <v>16</v>
      </c>
      <c r="D33" t="str">
        <f t="shared" si="0"/>
        <v>25C</v>
      </c>
      <c r="E33" s="2">
        <v>81.787999999999997</v>
      </c>
      <c r="F33">
        <v>2.0179999999999998</v>
      </c>
      <c r="G33">
        <v>1.7629999999999999</v>
      </c>
      <c r="H33" s="5"/>
      <c r="I33" s="5"/>
      <c r="J33" s="5"/>
      <c r="K33" s="5"/>
      <c r="L33" s="5"/>
      <c r="M33" s="5"/>
    </row>
    <row r="34" spans="1:13" ht="15" customHeight="1" x14ac:dyDescent="0.3">
      <c r="A34">
        <v>26</v>
      </c>
      <c r="B34">
        <v>10</v>
      </c>
      <c r="C34" s="2" t="s">
        <v>16</v>
      </c>
      <c r="D34" t="str">
        <f t="shared" si="0"/>
        <v>26C</v>
      </c>
      <c r="E34" s="2">
        <v>58.557000000000002</v>
      </c>
      <c r="F34">
        <v>2.0430000000000001</v>
      </c>
      <c r="G34">
        <v>1.915</v>
      </c>
      <c r="H34" s="5"/>
      <c r="I34" s="5"/>
      <c r="J34" s="5"/>
      <c r="K34" s="5"/>
      <c r="L34" s="5"/>
      <c r="M34" s="5"/>
    </row>
    <row r="35" spans="1:13" ht="15" customHeight="1" x14ac:dyDescent="0.3">
      <c r="A35">
        <v>28</v>
      </c>
      <c r="B35">
        <v>10</v>
      </c>
      <c r="C35" s="2" t="s">
        <v>16</v>
      </c>
      <c r="D35" t="str">
        <f t="shared" si="0"/>
        <v>28C</v>
      </c>
      <c r="E35" s="2">
        <v>52.893000000000001</v>
      </c>
      <c r="F35">
        <v>2.0430000000000001</v>
      </c>
      <c r="G35">
        <v>1.819</v>
      </c>
      <c r="H35" s="3"/>
      <c r="I35" s="3"/>
      <c r="J35" s="3"/>
      <c r="K35" s="3"/>
      <c r="L35" s="3"/>
      <c r="M35" s="3"/>
    </row>
    <row r="36" spans="1:13" x14ac:dyDescent="0.3">
      <c r="A36">
        <v>35</v>
      </c>
      <c r="B36">
        <v>10</v>
      </c>
      <c r="C36" t="s">
        <v>16</v>
      </c>
      <c r="D36" t="str">
        <f t="shared" si="0"/>
        <v>35C</v>
      </c>
      <c r="E36">
        <v>45.790999999999997</v>
      </c>
      <c r="F36">
        <v>1.9990000000000001</v>
      </c>
      <c r="G36">
        <v>1.5469999999999999</v>
      </c>
    </row>
    <row r="37" spans="1:13" x14ac:dyDescent="0.3">
      <c r="A37">
        <v>37</v>
      </c>
      <c r="B37">
        <v>11</v>
      </c>
      <c r="C37" t="s">
        <v>16</v>
      </c>
      <c r="D37" t="str">
        <f t="shared" si="0"/>
        <v>37C</v>
      </c>
      <c r="E37">
        <v>37.396999999999998</v>
      </c>
      <c r="F37">
        <v>2.0659999999999998</v>
      </c>
      <c r="G37">
        <v>1.585</v>
      </c>
    </row>
    <row r="38" spans="1:13" x14ac:dyDescent="0.3">
      <c r="A38">
        <v>38</v>
      </c>
      <c r="B38">
        <v>11</v>
      </c>
      <c r="C38" t="s">
        <v>16</v>
      </c>
      <c r="D38" t="str">
        <f t="shared" si="0"/>
        <v>38C</v>
      </c>
      <c r="E38">
        <v>30</v>
      </c>
      <c r="F38">
        <v>2.016</v>
      </c>
      <c r="G38">
        <v>1.375</v>
      </c>
    </row>
    <row r="39" spans="1:13" x14ac:dyDescent="0.3">
      <c r="A39">
        <v>44</v>
      </c>
      <c r="B39">
        <v>11</v>
      </c>
      <c r="C39" t="s">
        <v>16</v>
      </c>
      <c r="D39" t="str">
        <f t="shared" si="0"/>
        <v>44C</v>
      </c>
      <c r="E39">
        <v>23.004000000000001</v>
      </c>
      <c r="F39">
        <v>2.0499999999999998</v>
      </c>
      <c r="G39">
        <v>1.9870000000000001</v>
      </c>
    </row>
    <row r="40" spans="1:13" x14ac:dyDescent="0.3">
      <c r="A40">
        <v>46</v>
      </c>
      <c r="B40">
        <v>12</v>
      </c>
      <c r="C40" t="s">
        <v>16</v>
      </c>
      <c r="D40" t="str">
        <f t="shared" si="0"/>
        <v>46C</v>
      </c>
      <c r="E40">
        <v>21.010999999999999</v>
      </c>
      <c r="F40">
        <v>2.0390000000000001</v>
      </c>
      <c r="G40">
        <v>1.885</v>
      </c>
    </row>
    <row r="41" spans="1:13" x14ac:dyDescent="0.3">
      <c r="A41">
        <v>47</v>
      </c>
      <c r="B41">
        <v>12</v>
      </c>
      <c r="C41" t="s">
        <v>16</v>
      </c>
      <c r="D41" t="str">
        <f t="shared" si="0"/>
        <v>47C</v>
      </c>
      <c r="E41">
        <v>20.635999999999999</v>
      </c>
      <c r="F41">
        <v>2.0750000000000002</v>
      </c>
      <c r="G41">
        <v>2.0499999999999998</v>
      </c>
    </row>
    <row r="42" spans="1:13" x14ac:dyDescent="0.3">
      <c r="A42">
        <v>56</v>
      </c>
      <c r="B42">
        <v>12</v>
      </c>
      <c r="C42" t="s">
        <v>16</v>
      </c>
      <c r="D42" t="str">
        <f t="shared" si="0"/>
        <v>56C</v>
      </c>
      <c r="E42">
        <v>20.422000000000001</v>
      </c>
      <c r="F42">
        <v>1.982</v>
      </c>
      <c r="G42">
        <v>1.726</v>
      </c>
    </row>
    <row r="43" spans="1:13" x14ac:dyDescent="0.3">
      <c r="A43">
        <v>2</v>
      </c>
      <c r="B43">
        <v>12</v>
      </c>
      <c r="C43" s="2" t="s">
        <v>14</v>
      </c>
      <c r="D43" t="str">
        <f t="shared" si="0"/>
        <v>2D</v>
      </c>
      <c r="E43" s="2">
        <v>145.667</v>
      </c>
      <c r="F43">
        <v>2.0699999999999998</v>
      </c>
      <c r="G43">
        <v>1.81</v>
      </c>
    </row>
    <row r="44" spans="1:13" x14ac:dyDescent="0.3">
      <c r="A44">
        <v>7</v>
      </c>
      <c r="B44">
        <v>13</v>
      </c>
      <c r="C44" s="2" t="s">
        <v>14</v>
      </c>
      <c r="D44" t="str">
        <f t="shared" si="0"/>
        <v>7D</v>
      </c>
      <c r="E44" s="2">
        <v>142.14500000000001</v>
      </c>
      <c r="F44">
        <v>1.9950000000000001</v>
      </c>
      <c r="G44">
        <v>1.72</v>
      </c>
    </row>
    <row r="45" spans="1:13" x14ac:dyDescent="0.3">
      <c r="A45">
        <v>13</v>
      </c>
      <c r="B45">
        <v>13</v>
      </c>
      <c r="C45" s="2" t="s">
        <v>14</v>
      </c>
      <c r="D45" t="str">
        <f t="shared" si="0"/>
        <v>13D</v>
      </c>
      <c r="E45" s="2">
        <v>121.837</v>
      </c>
      <c r="F45">
        <v>1.923</v>
      </c>
      <c r="G45">
        <v>1.6759999999999999</v>
      </c>
    </row>
    <row r="46" spans="1:13" x14ac:dyDescent="0.3">
      <c r="A46">
        <v>15</v>
      </c>
      <c r="B46">
        <v>14</v>
      </c>
      <c r="C46" s="2" t="s">
        <v>14</v>
      </c>
      <c r="D46" t="str">
        <f t="shared" si="0"/>
        <v>15D</v>
      </c>
      <c r="E46" s="2">
        <v>81.103999999999999</v>
      </c>
      <c r="F46">
        <v>2.0059999999999998</v>
      </c>
      <c r="G46">
        <v>1.7230000000000001</v>
      </c>
    </row>
    <row r="47" spans="1:13" x14ac:dyDescent="0.3">
      <c r="A47">
        <v>19</v>
      </c>
      <c r="B47">
        <v>14</v>
      </c>
      <c r="C47" s="2" t="s">
        <v>14</v>
      </c>
      <c r="D47" t="str">
        <f t="shared" si="0"/>
        <v>19D</v>
      </c>
      <c r="E47" s="2">
        <v>77.024000000000001</v>
      </c>
      <c r="F47">
        <v>2.052</v>
      </c>
      <c r="G47">
        <v>1.986</v>
      </c>
    </row>
    <row r="48" spans="1:13" x14ac:dyDescent="0.3">
      <c r="A48">
        <v>20</v>
      </c>
      <c r="B48">
        <v>14</v>
      </c>
      <c r="C48" s="2" t="s">
        <v>14</v>
      </c>
      <c r="D48" t="str">
        <f t="shared" si="0"/>
        <v>20D</v>
      </c>
      <c r="E48" s="2">
        <v>72.787000000000006</v>
      </c>
      <c r="F48">
        <v>1.982</v>
      </c>
      <c r="G48">
        <v>1.8979999999999999</v>
      </c>
    </row>
    <row r="49" spans="1:7" x14ac:dyDescent="0.3">
      <c r="A49" s="1">
        <v>29</v>
      </c>
      <c r="B49" s="1">
        <v>14</v>
      </c>
      <c r="C49" s="1" t="s">
        <v>14</v>
      </c>
      <c r="D49" s="1" t="str">
        <f t="shared" si="0"/>
        <v>29D</v>
      </c>
      <c r="E49" s="1">
        <v>51.87</v>
      </c>
      <c r="F49" s="1">
        <v>1.6679999999999999</v>
      </c>
      <c r="G49" s="1">
        <v>0.36599999999999999</v>
      </c>
    </row>
    <row r="50" spans="1:7" x14ac:dyDescent="0.3">
      <c r="A50">
        <v>30</v>
      </c>
      <c r="B50">
        <v>15</v>
      </c>
      <c r="C50" s="2" t="s">
        <v>14</v>
      </c>
      <c r="D50" t="str">
        <f t="shared" si="0"/>
        <v>30D</v>
      </c>
      <c r="E50" s="2">
        <v>47.298999999999999</v>
      </c>
      <c r="F50">
        <v>1.988</v>
      </c>
      <c r="G50">
        <v>1.282</v>
      </c>
    </row>
    <row r="51" spans="1:7" x14ac:dyDescent="0.3">
      <c r="A51">
        <v>31</v>
      </c>
      <c r="B51">
        <v>15</v>
      </c>
      <c r="C51" s="2" t="s">
        <v>14</v>
      </c>
      <c r="D51" t="str">
        <f t="shared" si="0"/>
        <v>31D</v>
      </c>
      <c r="E51" s="2">
        <v>46.097000000000001</v>
      </c>
      <c r="F51">
        <v>2.0139999999999998</v>
      </c>
      <c r="G51">
        <v>1.3620000000000001</v>
      </c>
    </row>
    <row r="52" spans="1:7" x14ac:dyDescent="0.3">
      <c r="A52">
        <v>33</v>
      </c>
      <c r="B52">
        <v>15</v>
      </c>
      <c r="C52" t="s">
        <v>14</v>
      </c>
      <c r="D52" t="str">
        <f t="shared" si="0"/>
        <v>33D</v>
      </c>
      <c r="E52">
        <v>42.996000000000002</v>
      </c>
      <c r="F52">
        <v>2.0419999999999998</v>
      </c>
      <c r="G52">
        <v>1.2949999999999999</v>
      </c>
    </row>
    <row r="53" spans="1:7" x14ac:dyDescent="0.3">
      <c r="A53">
        <v>45</v>
      </c>
      <c r="B53">
        <v>15</v>
      </c>
      <c r="C53" t="s">
        <v>14</v>
      </c>
      <c r="D53" t="str">
        <f t="shared" si="0"/>
        <v>45D</v>
      </c>
      <c r="E53">
        <v>38.442999999999998</v>
      </c>
      <c r="F53">
        <v>2.0379999999999998</v>
      </c>
      <c r="G53">
        <v>1.948</v>
      </c>
    </row>
    <row r="54" spans="1:7" x14ac:dyDescent="0.3">
      <c r="A54">
        <v>49</v>
      </c>
      <c r="B54">
        <v>16</v>
      </c>
      <c r="C54" t="s">
        <v>14</v>
      </c>
      <c r="D54" t="str">
        <f t="shared" si="0"/>
        <v>49D</v>
      </c>
      <c r="E54">
        <v>33.799999999999997</v>
      </c>
      <c r="F54">
        <v>2.0150000000000001</v>
      </c>
      <c r="G54">
        <v>1.427</v>
      </c>
    </row>
    <row r="55" spans="1:7" x14ac:dyDescent="0.3">
      <c r="A55">
        <v>53</v>
      </c>
      <c r="B55">
        <v>16</v>
      </c>
      <c r="C55" t="s">
        <v>14</v>
      </c>
      <c r="D55" t="str">
        <f t="shared" si="0"/>
        <v>53D</v>
      </c>
      <c r="E55">
        <v>28.635000000000002</v>
      </c>
      <c r="F55">
        <v>2.089</v>
      </c>
      <c r="G55">
        <v>2.0219999999999998</v>
      </c>
    </row>
    <row r="56" spans="1:7" x14ac:dyDescent="0.3">
      <c r="A56">
        <v>54</v>
      </c>
      <c r="B56">
        <v>16</v>
      </c>
      <c r="C56" t="s">
        <v>14</v>
      </c>
      <c r="D56" t="str">
        <f t="shared" si="0"/>
        <v>54D</v>
      </c>
      <c r="E56">
        <v>16.126000000000001</v>
      </c>
      <c r="F56">
        <v>2.0579999999999998</v>
      </c>
      <c r="G56">
        <v>2.08</v>
      </c>
    </row>
  </sheetData>
  <mergeCells count="2">
    <mergeCell ref="N2:Q17"/>
    <mergeCell ref="H19:M34"/>
  </mergeCells>
  <conditionalFormatting sqref="G1:G1048576">
    <cfRule type="cellIs" dxfId="13" priority="1" operator="lessThanOrEqual">
      <formula>1.7</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topLeftCell="A43" workbookViewId="0">
      <selection activeCell="M11" sqref="M11"/>
    </sheetView>
  </sheetViews>
  <sheetFormatPr defaultRowHeight="14.4" x14ac:dyDescent="0.3"/>
  <cols>
    <col min="1" max="1" width="16.33203125" bestFit="1" customWidth="1"/>
    <col min="2" max="2" width="20.6640625" bestFit="1" customWidth="1"/>
    <col min="3" max="3" width="21.5546875" bestFit="1" customWidth="1"/>
    <col min="4" max="4" width="31.88671875" bestFit="1" customWidth="1"/>
    <col min="5" max="5" width="18.5546875" bestFit="1" customWidth="1"/>
    <col min="6" max="7" width="10" bestFit="1" customWidth="1"/>
  </cols>
  <sheetData>
    <row r="1" spans="1:7" x14ac:dyDescent="0.3">
      <c r="A1" t="s">
        <v>21</v>
      </c>
      <c r="B1" t="s">
        <v>19</v>
      </c>
      <c r="C1" t="s">
        <v>20</v>
      </c>
      <c r="D1" t="s">
        <v>18</v>
      </c>
      <c r="E1" t="s">
        <v>0</v>
      </c>
      <c r="F1" t="s">
        <v>1</v>
      </c>
      <c r="G1" t="s">
        <v>2</v>
      </c>
    </row>
    <row r="2" spans="1:7" x14ac:dyDescent="0.3">
      <c r="A2" t="s">
        <v>23</v>
      </c>
      <c r="B2">
        <v>1</v>
      </c>
      <c r="C2" t="s">
        <v>15</v>
      </c>
      <c r="D2">
        <v>5</v>
      </c>
      <c r="E2">
        <v>123.83199999999999</v>
      </c>
      <c r="F2">
        <v>2.036</v>
      </c>
      <c r="G2">
        <v>1.9119999999999999</v>
      </c>
    </row>
    <row r="3" spans="1:7" x14ac:dyDescent="0.3">
      <c r="A3" t="s">
        <v>24</v>
      </c>
      <c r="B3">
        <v>1</v>
      </c>
      <c r="C3" t="s">
        <v>15</v>
      </c>
      <c r="D3">
        <v>8</v>
      </c>
      <c r="E3">
        <v>123.04</v>
      </c>
      <c r="F3">
        <v>2.04</v>
      </c>
      <c r="G3">
        <v>1.8620000000000001</v>
      </c>
    </row>
    <row r="4" spans="1:7" x14ac:dyDescent="0.3">
      <c r="A4" t="s">
        <v>25</v>
      </c>
      <c r="B4">
        <v>1</v>
      </c>
      <c r="C4" t="s">
        <v>15</v>
      </c>
      <c r="D4">
        <v>12</v>
      </c>
      <c r="E4">
        <v>80.835999999999999</v>
      </c>
      <c r="F4">
        <v>2.0150000000000001</v>
      </c>
      <c r="G4">
        <v>1.782</v>
      </c>
    </row>
    <row r="5" spans="1:7" x14ac:dyDescent="0.3">
      <c r="A5" t="s">
        <v>26</v>
      </c>
      <c r="B5">
        <v>2</v>
      </c>
      <c r="C5" t="s">
        <v>15</v>
      </c>
      <c r="D5">
        <v>16</v>
      </c>
      <c r="E5">
        <v>58.957000000000001</v>
      </c>
      <c r="F5">
        <v>2.0449999999999999</v>
      </c>
      <c r="G5">
        <v>1.925</v>
      </c>
    </row>
    <row r="6" spans="1:7" x14ac:dyDescent="0.3">
      <c r="A6" t="s">
        <v>27</v>
      </c>
      <c r="B6">
        <v>2</v>
      </c>
      <c r="C6" t="s">
        <v>15</v>
      </c>
      <c r="D6">
        <v>22</v>
      </c>
      <c r="E6">
        <v>56.529000000000003</v>
      </c>
      <c r="F6">
        <v>2.133</v>
      </c>
      <c r="G6">
        <v>2.27</v>
      </c>
    </row>
    <row r="7" spans="1:7" x14ac:dyDescent="0.3">
      <c r="A7" t="s">
        <v>28</v>
      </c>
      <c r="B7">
        <v>3</v>
      </c>
      <c r="C7" t="s">
        <v>15</v>
      </c>
      <c r="D7">
        <v>27</v>
      </c>
      <c r="E7">
        <v>52.491999999999997</v>
      </c>
      <c r="F7">
        <v>1.944</v>
      </c>
      <c r="G7">
        <v>0.98</v>
      </c>
    </row>
    <row r="8" spans="1:7" x14ac:dyDescent="0.3">
      <c r="A8" t="s">
        <v>29</v>
      </c>
      <c r="B8">
        <v>3</v>
      </c>
      <c r="C8" t="s">
        <v>15</v>
      </c>
      <c r="D8">
        <v>32</v>
      </c>
      <c r="E8">
        <v>50.476999999999997</v>
      </c>
      <c r="F8">
        <v>1.8720000000000001</v>
      </c>
      <c r="G8">
        <v>0.71099999999999997</v>
      </c>
    </row>
    <row r="9" spans="1:7" x14ac:dyDescent="0.3">
      <c r="A9" t="s">
        <v>30</v>
      </c>
      <c r="B9">
        <v>3</v>
      </c>
      <c r="C9" t="s">
        <v>15</v>
      </c>
      <c r="D9">
        <v>34</v>
      </c>
      <c r="E9">
        <v>49.127000000000002</v>
      </c>
      <c r="F9">
        <v>1.944</v>
      </c>
      <c r="G9">
        <v>1.0329999999999999</v>
      </c>
    </row>
    <row r="10" spans="1:7" x14ac:dyDescent="0.3">
      <c r="A10" t="s">
        <v>31</v>
      </c>
      <c r="B10">
        <v>3</v>
      </c>
      <c r="C10" t="s">
        <v>15</v>
      </c>
      <c r="D10">
        <v>36</v>
      </c>
      <c r="E10">
        <v>41.097000000000001</v>
      </c>
      <c r="F10">
        <v>1.9339999999999999</v>
      </c>
      <c r="G10">
        <v>1.054</v>
      </c>
    </row>
    <row r="11" spans="1:7" x14ac:dyDescent="0.3">
      <c r="A11" t="s">
        <v>32</v>
      </c>
      <c r="B11">
        <v>4</v>
      </c>
      <c r="C11" t="s">
        <v>15</v>
      </c>
      <c r="D11">
        <v>39</v>
      </c>
      <c r="E11">
        <v>32.170999999999999</v>
      </c>
      <c r="F11">
        <v>2.0390000000000001</v>
      </c>
      <c r="G11">
        <v>1.4590000000000001</v>
      </c>
    </row>
    <row r="12" spans="1:7" x14ac:dyDescent="0.3">
      <c r="A12" t="s">
        <v>33</v>
      </c>
      <c r="B12">
        <v>4</v>
      </c>
      <c r="C12" t="s">
        <v>15</v>
      </c>
      <c r="D12">
        <v>40</v>
      </c>
      <c r="E12">
        <v>29.018999999999998</v>
      </c>
      <c r="F12">
        <v>2.0129999999999999</v>
      </c>
      <c r="G12">
        <v>1.23</v>
      </c>
    </row>
    <row r="13" spans="1:7" x14ac:dyDescent="0.3">
      <c r="A13" t="s">
        <v>34</v>
      </c>
      <c r="B13">
        <v>4</v>
      </c>
      <c r="C13" t="s">
        <v>15</v>
      </c>
      <c r="D13">
        <v>41</v>
      </c>
      <c r="E13">
        <v>28.59</v>
      </c>
      <c r="F13">
        <v>2.0489999999999999</v>
      </c>
      <c r="G13">
        <v>1.5309999999999999</v>
      </c>
    </row>
    <row r="14" spans="1:7" x14ac:dyDescent="0.3">
      <c r="A14" t="s">
        <v>35</v>
      </c>
      <c r="B14">
        <v>5</v>
      </c>
      <c r="C14" t="s">
        <v>15</v>
      </c>
      <c r="D14">
        <v>43</v>
      </c>
      <c r="E14">
        <v>16.552</v>
      </c>
      <c r="F14">
        <v>2.0409999999999999</v>
      </c>
      <c r="G14">
        <v>1.462</v>
      </c>
    </row>
    <row r="15" spans="1:7" x14ac:dyDescent="0.3">
      <c r="A15" t="s">
        <v>36</v>
      </c>
      <c r="B15">
        <v>5</v>
      </c>
      <c r="C15" t="s">
        <v>13</v>
      </c>
      <c r="D15">
        <v>1</v>
      </c>
      <c r="E15">
        <v>257.084</v>
      </c>
      <c r="F15">
        <v>2.04</v>
      </c>
      <c r="G15">
        <v>1.75</v>
      </c>
    </row>
    <row r="16" spans="1:7" x14ac:dyDescent="0.3">
      <c r="A16" t="s">
        <v>37</v>
      </c>
      <c r="B16">
        <v>5</v>
      </c>
      <c r="C16" t="s">
        <v>13</v>
      </c>
      <c r="D16">
        <v>4</v>
      </c>
      <c r="E16">
        <v>174.48400000000001</v>
      </c>
      <c r="F16">
        <v>2.0579999999999998</v>
      </c>
      <c r="G16">
        <v>1.972</v>
      </c>
    </row>
    <row r="17" spans="1:7" x14ac:dyDescent="0.3">
      <c r="A17" t="s">
        <v>38</v>
      </c>
      <c r="B17">
        <v>6</v>
      </c>
      <c r="C17" t="s">
        <v>13</v>
      </c>
      <c r="D17">
        <v>6</v>
      </c>
      <c r="E17">
        <v>123.601</v>
      </c>
      <c r="F17">
        <v>1.841</v>
      </c>
      <c r="G17">
        <v>1.292</v>
      </c>
    </row>
    <row r="18" spans="1:7" x14ac:dyDescent="0.3">
      <c r="A18" t="s">
        <v>39</v>
      </c>
      <c r="B18">
        <v>6</v>
      </c>
      <c r="C18" t="s">
        <v>13</v>
      </c>
      <c r="D18">
        <v>9</v>
      </c>
      <c r="E18">
        <v>76.531999999999996</v>
      </c>
      <c r="F18">
        <v>1.98</v>
      </c>
      <c r="G18">
        <v>1.7150000000000001</v>
      </c>
    </row>
    <row r="19" spans="1:7" x14ac:dyDescent="0.3">
      <c r="A19" t="s">
        <v>40</v>
      </c>
      <c r="B19">
        <v>6</v>
      </c>
      <c r="C19" t="s">
        <v>13</v>
      </c>
      <c r="D19">
        <v>10</v>
      </c>
      <c r="E19">
        <v>72.108000000000004</v>
      </c>
      <c r="F19">
        <v>2.024</v>
      </c>
      <c r="G19">
        <v>1.895</v>
      </c>
    </row>
    <row r="20" spans="1:7" x14ac:dyDescent="0.3">
      <c r="A20" t="s">
        <v>41</v>
      </c>
      <c r="B20">
        <v>6</v>
      </c>
      <c r="C20" t="s">
        <v>13</v>
      </c>
      <c r="D20">
        <v>11</v>
      </c>
      <c r="E20">
        <v>61.91</v>
      </c>
      <c r="F20">
        <v>2.0249999999999999</v>
      </c>
      <c r="G20">
        <v>1.7709999999999999</v>
      </c>
    </row>
    <row r="21" spans="1:7" x14ac:dyDescent="0.3">
      <c r="A21" t="s">
        <v>42</v>
      </c>
      <c r="B21">
        <v>7</v>
      </c>
      <c r="C21" t="s">
        <v>13</v>
      </c>
      <c r="D21">
        <v>17</v>
      </c>
      <c r="E21">
        <v>53.323</v>
      </c>
      <c r="F21">
        <v>2.0499999999999998</v>
      </c>
      <c r="G21">
        <v>1.948</v>
      </c>
    </row>
    <row r="22" spans="1:7" x14ac:dyDescent="0.3">
      <c r="A22" t="s">
        <v>43</v>
      </c>
      <c r="B22">
        <v>7</v>
      </c>
      <c r="C22" t="s">
        <v>13</v>
      </c>
      <c r="D22">
        <v>48</v>
      </c>
      <c r="E22">
        <v>44.994999999999997</v>
      </c>
      <c r="F22">
        <v>10.491</v>
      </c>
      <c r="G22">
        <v>-6.1269999999999998</v>
      </c>
    </row>
    <row r="23" spans="1:7" x14ac:dyDescent="0.3">
      <c r="A23" t="s">
        <v>44</v>
      </c>
      <c r="B23">
        <v>7</v>
      </c>
      <c r="C23" t="s">
        <v>13</v>
      </c>
      <c r="D23">
        <v>50</v>
      </c>
      <c r="E23">
        <v>40.409999999999997</v>
      </c>
      <c r="F23">
        <v>2.0449999999999999</v>
      </c>
      <c r="G23">
        <v>1.67</v>
      </c>
    </row>
    <row r="24" spans="1:7" x14ac:dyDescent="0.3">
      <c r="A24" t="s">
        <v>45</v>
      </c>
      <c r="B24">
        <v>7</v>
      </c>
      <c r="C24" t="s">
        <v>13</v>
      </c>
      <c r="D24">
        <v>51</v>
      </c>
      <c r="E24">
        <v>38.652999999999999</v>
      </c>
      <c r="F24">
        <v>2.101</v>
      </c>
      <c r="G24">
        <v>2.0049999999999999</v>
      </c>
    </row>
    <row r="25" spans="1:7" x14ac:dyDescent="0.3">
      <c r="A25" t="s">
        <v>46</v>
      </c>
      <c r="B25">
        <v>8</v>
      </c>
      <c r="C25" t="s">
        <v>13</v>
      </c>
      <c r="D25">
        <v>52</v>
      </c>
      <c r="E25">
        <v>36.161000000000001</v>
      </c>
      <c r="F25">
        <v>1.9970000000000001</v>
      </c>
      <c r="G25">
        <v>1.6459999999999999</v>
      </c>
    </row>
    <row r="26" spans="1:7" x14ac:dyDescent="0.3">
      <c r="A26" t="s">
        <v>47</v>
      </c>
      <c r="B26">
        <v>8</v>
      </c>
      <c r="C26" t="s">
        <v>13</v>
      </c>
      <c r="D26">
        <v>55</v>
      </c>
      <c r="E26">
        <v>19.896000000000001</v>
      </c>
      <c r="F26">
        <v>2.0379999999999998</v>
      </c>
      <c r="G26">
        <v>1.9410000000000001</v>
      </c>
    </row>
    <row r="27" spans="1:7" x14ac:dyDescent="0.3">
      <c r="A27" t="s">
        <v>48</v>
      </c>
      <c r="B27">
        <v>8</v>
      </c>
      <c r="C27" t="s">
        <v>13</v>
      </c>
      <c r="D27">
        <v>57</v>
      </c>
      <c r="E27">
        <v>12.045</v>
      </c>
      <c r="F27">
        <v>2.0609999999999999</v>
      </c>
      <c r="G27">
        <v>2.125</v>
      </c>
    </row>
    <row r="28" spans="1:7" x14ac:dyDescent="0.3">
      <c r="A28" t="s">
        <v>49</v>
      </c>
      <c r="B28">
        <v>8</v>
      </c>
      <c r="C28" t="s">
        <v>16</v>
      </c>
      <c r="D28">
        <v>14</v>
      </c>
      <c r="E28">
        <v>196.024</v>
      </c>
      <c r="F28">
        <v>2.0249999999999999</v>
      </c>
      <c r="G28">
        <v>1.8420000000000001</v>
      </c>
    </row>
    <row r="29" spans="1:7" x14ac:dyDescent="0.3">
      <c r="A29" t="s">
        <v>50</v>
      </c>
      <c r="B29">
        <v>9</v>
      </c>
      <c r="C29" t="s">
        <v>16</v>
      </c>
      <c r="D29">
        <v>18</v>
      </c>
      <c r="E29">
        <v>164.87100000000001</v>
      </c>
      <c r="F29">
        <v>2.0019999999999998</v>
      </c>
      <c r="G29">
        <v>1.8380000000000001</v>
      </c>
    </row>
    <row r="30" spans="1:7" x14ac:dyDescent="0.3">
      <c r="A30" t="s">
        <v>51</v>
      </c>
      <c r="B30">
        <v>9</v>
      </c>
      <c r="C30" t="s">
        <v>16</v>
      </c>
      <c r="D30">
        <v>21</v>
      </c>
      <c r="E30">
        <v>112.71299999999999</v>
      </c>
      <c r="F30">
        <v>1.839</v>
      </c>
      <c r="G30">
        <v>1.9910000000000001</v>
      </c>
    </row>
    <row r="31" spans="1:7" x14ac:dyDescent="0.3">
      <c r="A31" t="s">
        <v>52</v>
      </c>
      <c r="B31">
        <v>9</v>
      </c>
      <c r="C31" t="s">
        <v>16</v>
      </c>
      <c r="D31">
        <v>23</v>
      </c>
      <c r="E31">
        <v>111.592</v>
      </c>
      <c r="F31">
        <v>2.1019999999999999</v>
      </c>
      <c r="G31">
        <v>2.137</v>
      </c>
    </row>
    <row r="32" spans="1:7" x14ac:dyDescent="0.3">
      <c r="A32" t="s">
        <v>53</v>
      </c>
      <c r="B32">
        <v>9</v>
      </c>
      <c r="C32" t="s">
        <v>16</v>
      </c>
      <c r="D32">
        <v>24</v>
      </c>
      <c r="E32">
        <v>89.100999999999999</v>
      </c>
      <c r="F32">
        <v>2.044</v>
      </c>
      <c r="G32">
        <v>2.0499999999999998</v>
      </c>
    </row>
    <row r="33" spans="1:7" x14ac:dyDescent="0.3">
      <c r="A33" t="s">
        <v>54</v>
      </c>
      <c r="B33">
        <v>10</v>
      </c>
      <c r="C33" t="s">
        <v>16</v>
      </c>
      <c r="D33">
        <v>25</v>
      </c>
      <c r="E33">
        <v>81.787999999999997</v>
      </c>
      <c r="F33">
        <v>2.0179999999999998</v>
      </c>
      <c r="G33">
        <v>1.7629999999999999</v>
      </c>
    </row>
    <row r="34" spans="1:7" x14ac:dyDescent="0.3">
      <c r="A34" t="s">
        <v>55</v>
      </c>
      <c r="B34">
        <v>10</v>
      </c>
      <c r="C34" t="s">
        <v>16</v>
      </c>
      <c r="D34">
        <v>26</v>
      </c>
      <c r="E34">
        <v>58.557000000000002</v>
      </c>
      <c r="F34">
        <v>2.0430000000000001</v>
      </c>
      <c r="G34">
        <v>1.915</v>
      </c>
    </row>
    <row r="35" spans="1:7" x14ac:dyDescent="0.3">
      <c r="A35" t="s">
        <v>56</v>
      </c>
      <c r="B35">
        <v>10</v>
      </c>
      <c r="C35" t="s">
        <v>16</v>
      </c>
      <c r="D35">
        <v>28</v>
      </c>
      <c r="E35">
        <v>52.893000000000001</v>
      </c>
      <c r="F35">
        <v>2.0430000000000001</v>
      </c>
      <c r="G35">
        <v>1.819</v>
      </c>
    </row>
    <row r="36" spans="1:7" x14ac:dyDescent="0.3">
      <c r="A36" t="s">
        <v>57</v>
      </c>
      <c r="B36">
        <v>10</v>
      </c>
      <c r="C36" t="s">
        <v>16</v>
      </c>
      <c r="D36">
        <v>35</v>
      </c>
      <c r="E36">
        <v>45.790999999999997</v>
      </c>
      <c r="F36">
        <v>1.9990000000000001</v>
      </c>
      <c r="G36">
        <v>1.5469999999999999</v>
      </c>
    </row>
    <row r="37" spans="1:7" x14ac:dyDescent="0.3">
      <c r="A37" t="s">
        <v>58</v>
      </c>
      <c r="B37">
        <v>11</v>
      </c>
      <c r="C37" t="s">
        <v>16</v>
      </c>
      <c r="D37">
        <v>37</v>
      </c>
      <c r="E37">
        <v>37.396999999999998</v>
      </c>
      <c r="F37">
        <v>2.0659999999999998</v>
      </c>
      <c r="G37">
        <v>1.585</v>
      </c>
    </row>
    <row r="38" spans="1:7" x14ac:dyDescent="0.3">
      <c r="A38" t="s">
        <v>59</v>
      </c>
      <c r="B38">
        <v>11</v>
      </c>
      <c r="C38" t="s">
        <v>16</v>
      </c>
      <c r="D38">
        <v>38</v>
      </c>
      <c r="E38">
        <v>30</v>
      </c>
      <c r="F38">
        <v>2.016</v>
      </c>
      <c r="G38">
        <v>1.375</v>
      </c>
    </row>
    <row r="39" spans="1:7" x14ac:dyDescent="0.3">
      <c r="A39" t="s">
        <v>60</v>
      </c>
      <c r="B39">
        <v>11</v>
      </c>
      <c r="C39" t="s">
        <v>16</v>
      </c>
      <c r="D39">
        <v>44</v>
      </c>
      <c r="E39">
        <v>23.004000000000001</v>
      </c>
      <c r="F39">
        <v>2.0499999999999998</v>
      </c>
      <c r="G39">
        <v>1.9870000000000001</v>
      </c>
    </row>
    <row r="40" spans="1:7" x14ac:dyDescent="0.3">
      <c r="A40" t="s">
        <v>61</v>
      </c>
      <c r="B40">
        <v>12</v>
      </c>
      <c r="C40" t="s">
        <v>16</v>
      </c>
      <c r="D40">
        <v>46</v>
      </c>
      <c r="E40">
        <v>21.010999999999999</v>
      </c>
      <c r="F40">
        <v>2.0390000000000001</v>
      </c>
      <c r="G40">
        <v>1.885</v>
      </c>
    </row>
    <row r="41" spans="1:7" x14ac:dyDescent="0.3">
      <c r="A41" t="s">
        <v>62</v>
      </c>
      <c r="B41">
        <v>12</v>
      </c>
      <c r="C41" t="s">
        <v>16</v>
      </c>
      <c r="D41">
        <v>47</v>
      </c>
      <c r="E41">
        <v>20.635999999999999</v>
      </c>
      <c r="F41">
        <v>2.0750000000000002</v>
      </c>
      <c r="G41">
        <v>2.0499999999999998</v>
      </c>
    </row>
    <row r="42" spans="1:7" x14ac:dyDescent="0.3">
      <c r="A42" t="s">
        <v>63</v>
      </c>
      <c r="B42">
        <v>12</v>
      </c>
      <c r="C42" t="s">
        <v>16</v>
      </c>
      <c r="D42">
        <v>56</v>
      </c>
      <c r="E42">
        <v>20.422000000000001</v>
      </c>
      <c r="F42">
        <v>1.982</v>
      </c>
      <c r="G42">
        <v>1.726</v>
      </c>
    </row>
    <row r="43" spans="1:7" x14ac:dyDescent="0.3">
      <c r="A43" t="s">
        <v>64</v>
      </c>
      <c r="B43">
        <v>12</v>
      </c>
      <c r="C43" t="s">
        <v>14</v>
      </c>
      <c r="D43">
        <v>2</v>
      </c>
      <c r="E43">
        <v>145.667</v>
      </c>
      <c r="F43">
        <v>2.0699999999999998</v>
      </c>
      <c r="G43">
        <v>1.81</v>
      </c>
    </row>
    <row r="44" spans="1:7" x14ac:dyDescent="0.3">
      <c r="A44" t="s">
        <v>65</v>
      </c>
      <c r="B44">
        <v>13</v>
      </c>
      <c r="C44" t="s">
        <v>14</v>
      </c>
      <c r="D44">
        <v>7</v>
      </c>
      <c r="E44">
        <v>142.14500000000001</v>
      </c>
      <c r="F44">
        <v>1.9950000000000001</v>
      </c>
      <c r="G44">
        <v>1.72</v>
      </c>
    </row>
    <row r="45" spans="1:7" x14ac:dyDescent="0.3">
      <c r="A45" t="s">
        <v>66</v>
      </c>
      <c r="B45">
        <v>13</v>
      </c>
      <c r="C45" t="s">
        <v>14</v>
      </c>
      <c r="D45">
        <v>13</v>
      </c>
      <c r="E45">
        <v>121.837</v>
      </c>
      <c r="F45">
        <v>1.923</v>
      </c>
      <c r="G45">
        <v>1.6759999999999999</v>
      </c>
    </row>
    <row r="46" spans="1:7" x14ac:dyDescent="0.3">
      <c r="A46" t="s">
        <v>67</v>
      </c>
      <c r="B46">
        <v>14</v>
      </c>
      <c r="C46" t="s">
        <v>14</v>
      </c>
      <c r="D46">
        <v>15</v>
      </c>
      <c r="E46">
        <v>81.103999999999999</v>
      </c>
      <c r="F46">
        <v>2.0059999999999998</v>
      </c>
      <c r="G46">
        <v>1.7230000000000001</v>
      </c>
    </row>
    <row r="47" spans="1:7" x14ac:dyDescent="0.3">
      <c r="A47" t="s">
        <v>68</v>
      </c>
      <c r="B47">
        <v>14</v>
      </c>
      <c r="C47" t="s">
        <v>14</v>
      </c>
      <c r="D47">
        <v>19</v>
      </c>
      <c r="E47">
        <v>77.024000000000001</v>
      </c>
      <c r="F47">
        <v>2.052</v>
      </c>
      <c r="G47">
        <v>1.986</v>
      </c>
    </row>
    <row r="48" spans="1:7" x14ac:dyDescent="0.3">
      <c r="A48" t="s">
        <v>69</v>
      </c>
      <c r="B48">
        <v>14</v>
      </c>
      <c r="C48" t="s">
        <v>14</v>
      </c>
      <c r="D48">
        <v>20</v>
      </c>
      <c r="E48">
        <v>72.787000000000006</v>
      </c>
      <c r="F48">
        <v>1.982</v>
      </c>
      <c r="G48">
        <v>1.8979999999999999</v>
      </c>
    </row>
    <row r="49" spans="1:7" x14ac:dyDescent="0.3">
      <c r="A49" t="s">
        <v>70</v>
      </c>
      <c r="B49">
        <v>14</v>
      </c>
      <c r="C49" t="s">
        <v>14</v>
      </c>
      <c r="D49">
        <v>29</v>
      </c>
      <c r="E49">
        <v>51.87</v>
      </c>
      <c r="F49">
        <v>1.6679999999999999</v>
      </c>
      <c r="G49">
        <v>0.36599999999999999</v>
      </c>
    </row>
    <row r="50" spans="1:7" x14ac:dyDescent="0.3">
      <c r="A50" t="s">
        <v>71</v>
      </c>
      <c r="B50">
        <v>15</v>
      </c>
      <c r="C50" t="s">
        <v>14</v>
      </c>
      <c r="D50">
        <v>30</v>
      </c>
      <c r="E50">
        <v>47.298999999999999</v>
      </c>
      <c r="F50">
        <v>1.988</v>
      </c>
      <c r="G50">
        <v>1.282</v>
      </c>
    </row>
    <row r="51" spans="1:7" x14ac:dyDescent="0.3">
      <c r="A51" t="s">
        <v>72</v>
      </c>
      <c r="B51">
        <v>15</v>
      </c>
      <c r="C51" t="s">
        <v>14</v>
      </c>
      <c r="D51">
        <v>31</v>
      </c>
      <c r="E51">
        <v>46.097000000000001</v>
      </c>
      <c r="F51">
        <v>2.0139999999999998</v>
      </c>
      <c r="G51">
        <v>1.3620000000000001</v>
      </c>
    </row>
    <row r="52" spans="1:7" x14ac:dyDescent="0.3">
      <c r="A52" t="s">
        <v>73</v>
      </c>
      <c r="B52">
        <v>15</v>
      </c>
      <c r="C52" t="s">
        <v>14</v>
      </c>
      <c r="D52">
        <v>33</v>
      </c>
      <c r="E52">
        <v>42.996000000000002</v>
      </c>
      <c r="F52">
        <v>2.0419999999999998</v>
      </c>
      <c r="G52">
        <v>1.2949999999999999</v>
      </c>
    </row>
    <row r="53" spans="1:7" x14ac:dyDescent="0.3">
      <c r="A53" t="s">
        <v>74</v>
      </c>
      <c r="B53">
        <v>15</v>
      </c>
      <c r="C53" t="s">
        <v>14</v>
      </c>
      <c r="D53">
        <v>45</v>
      </c>
      <c r="E53">
        <v>38.442999999999998</v>
      </c>
      <c r="F53">
        <v>2.0379999999999998</v>
      </c>
      <c r="G53">
        <v>1.948</v>
      </c>
    </row>
    <row r="54" spans="1:7" x14ac:dyDescent="0.3">
      <c r="A54" t="s">
        <v>75</v>
      </c>
      <c r="B54">
        <v>16</v>
      </c>
      <c r="C54" t="s">
        <v>14</v>
      </c>
      <c r="D54">
        <v>49</v>
      </c>
      <c r="E54">
        <v>33.799999999999997</v>
      </c>
      <c r="F54">
        <v>2.0150000000000001</v>
      </c>
      <c r="G54">
        <v>1.427</v>
      </c>
    </row>
    <row r="55" spans="1:7" x14ac:dyDescent="0.3">
      <c r="A55" t="s">
        <v>76</v>
      </c>
      <c r="B55">
        <v>16</v>
      </c>
      <c r="C55" t="s">
        <v>14</v>
      </c>
      <c r="D55">
        <v>53</v>
      </c>
      <c r="E55">
        <v>28.635000000000002</v>
      </c>
      <c r="F55">
        <v>2.089</v>
      </c>
      <c r="G55">
        <v>2.0219999999999998</v>
      </c>
    </row>
    <row r="56" spans="1:7" x14ac:dyDescent="0.3">
      <c r="A56" t="s">
        <v>77</v>
      </c>
      <c r="B56">
        <v>16</v>
      </c>
      <c r="C56" t="s">
        <v>14</v>
      </c>
      <c r="D56">
        <v>54</v>
      </c>
      <c r="E56">
        <v>16.126000000000001</v>
      </c>
      <c r="F56">
        <v>2.0579999999999998</v>
      </c>
      <c r="G56">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54E0B-6940-4477-BB49-5E154396F374}">
  <dimension ref="A3:K61"/>
  <sheetViews>
    <sheetView tabSelected="1" topLeftCell="A3" workbookViewId="0">
      <selection activeCell="K61" sqref="B3:K61"/>
    </sheetView>
  </sheetViews>
  <sheetFormatPr defaultRowHeight="14.4" x14ac:dyDescent="0.3"/>
  <cols>
    <col min="1" max="2" width="14.33203125" style="6" bestFit="1" customWidth="1"/>
    <col min="3" max="3" width="11.44140625" style="7" customWidth="1"/>
    <col min="4" max="4" width="19.21875" style="7" customWidth="1"/>
    <col min="5" max="6" width="11.77734375" style="7" customWidth="1"/>
    <col min="7" max="8" width="7" style="7" customWidth="1"/>
    <col min="9" max="9" width="19.109375" style="7" customWidth="1"/>
    <col min="10" max="10" width="23.44140625" style="7" customWidth="1"/>
    <col min="11" max="11" width="20.21875" customWidth="1"/>
  </cols>
  <sheetData>
    <row r="3" spans="2:11" x14ac:dyDescent="0.3">
      <c r="B3" s="8" t="s">
        <v>11</v>
      </c>
      <c r="C3" s="8" t="s">
        <v>78</v>
      </c>
      <c r="D3" s="8" t="s">
        <v>0</v>
      </c>
      <c r="E3" s="8" t="s">
        <v>1</v>
      </c>
      <c r="F3" s="8" t="s">
        <v>2</v>
      </c>
      <c r="G3" s="8" t="s">
        <v>3</v>
      </c>
      <c r="H3" s="8" t="s">
        <v>4</v>
      </c>
      <c r="I3" s="8" t="s">
        <v>5</v>
      </c>
      <c r="J3" s="8" t="s">
        <v>6</v>
      </c>
      <c r="K3" s="8" t="s">
        <v>7</v>
      </c>
    </row>
    <row r="4" spans="2:11" x14ac:dyDescent="0.3">
      <c r="B4" s="9" t="s">
        <v>8</v>
      </c>
      <c r="C4" s="9">
        <v>0</v>
      </c>
      <c r="D4" s="10">
        <v>-0.39300000000000002</v>
      </c>
      <c r="E4" s="10">
        <v>-0.78500000000000003</v>
      </c>
      <c r="F4" s="10">
        <v>0.26700000000000002</v>
      </c>
      <c r="G4" s="10">
        <v>-0.01</v>
      </c>
      <c r="H4" s="10">
        <v>1.2999999999999999E-2</v>
      </c>
      <c r="I4" s="10">
        <v>40</v>
      </c>
      <c r="J4" s="10">
        <v>340</v>
      </c>
      <c r="K4" s="10">
        <v>-0.25700000000000001</v>
      </c>
    </row>
    <row r="5" spans="2:11" x14ac:dyDescent="0.3">
      <c r="B5" s="9">
        <v>1</v>
      </c>
      <c r="C5" s="9" t="s">
        <v>13</v>
      </c>
      <c r="D5" s="10">
        <v>257.084</v>
      </c>
      <c r="E5" s="10">
        <v>2.04</v>
      </c>
      <c r="F5" s="10">
        <v>1.75</v>
      </c>
      <c r="G5" s="10" t="s">
        <v>9</v>
      </c>
      <c r="H5" s="10" t="s">
        <v>9</v>
      </c>
      <c r="I5" s="10" t="s">
        <v>9</v>
      </c>
      <c r="J5" s="10" t="s">
        <v>9</v>
      </c>
      <c r="K5" s="10" t="s">
        <v>9</v>
      </c>
    </row>
    <row r="6" spans="2:11" x14ac:dyDescent="0.3">
      <c r="B6" s="9">
        <v>2</v>
      </c>
      <c r="C6" s="9" t="s">
        <v>14</v>
      </c>
      <c r="D6" s="10">
        <v>145.667</v>
      </c>
      <c r="E6" s="10">
        <v>2.0699999999999998</v>
      </c>
      <c r="F6" s="10">
        <v>1.81</v>
      </c>
      <c r="G6" s="10" t="s">
        <v>9</v>
      </c>
      <c r="H6" s="10" t="s">
        <v>9</v>
      </c>
      <c r="I6" s="10" t="s">
        <v>9</v>
      </c>
      <c r="J6" s="10" t="s">
        <v>9</v>
      </c>
      <c r="K6" s="10" t="s">
        <v>9</v>
      </c>
    </row>
    <row r="7" spans="2:11" x14ac:dyDescent="0.3">
      <c r="B7" s="9">
        <v>3</v>
      </c>
      <c r="C7" s="9" t="s">
        <v>15</v>
      </c>
      <c r="D7" s="10" t="s">
        <v>9</v>
      </c>
      <c r="E7" s="10">
        <v>2.0680000000000001</v>
      </c>
      <c r="F7" s="10">
        <v>1.91</v>
      </c>
      <c r="G7" s="10">
        <v>3.0760000000000001</v>
      </c>
      <c r="H7" s="10">
        <v>1.488</v>
      </c>
      <c r="I7" s="10">
        <v>40</v>
      </c>
      <c r="J7" s="10">
        <v>340</v>
      </c>
      <c r="K7" s="10">
        <v>6.8000000000000005E-2</v>
      </c>
    </row>
    <row r="8" spans="2:11" x14ac:dyDescent="0.3">
      <c r="B8" s="9">
        <v>4</v>
      </c>
      <c r="C8" s="9" t="s">
        <v>13</v>
      </c>
      <c r="D8" s="10">
        <v>174.48400000000001</v>
      </c>
      <c r="E8" s="10">
        <v>2.0579999999999998</v>
      </c>
      <c r="F8" s="10">
        <v>1.972</v>
      </c>
      <c r="G8" s="10">
        <v>2.028</v>
      </c>
      <c r="H8" s="10">
        <v>0.98499999999999999</v>
      </c>
      <c r="I8" s="10">
        <v>40</v>
      </c>
      <c r="J8" s="10">
        <v>340</v>
      </c>
      <c r="K8" s="10">
        <v>2.3E-2</v>
      </c>
    </row>
    <row r="9" spans="2:11" x14ac:dyDescent="0.3">
      <c r="B9" s="9">
        <v>5</v>
      </c>
      <c r="C9" s="9" t="s">
        <v>15</v>
      </c>
      <c r="D9" s="10">
        <v>123.83199999999999</v>
      </c>
      <c r="E9" s="10">
        <v>2.036</v>
      </c>
      <c r="F9" s="10">
        <v>1.9119999999999999</v>
      </c>
      <c r="G9" s="10">
        <v>1.548</v>
      </c>
      <c r="H9" s="10">
        <v>0.76</v>
      </c>
      <c r="I9" s="10">
        <v>40</v>
      </c>
      <c r="J9" s="10">
        <v>340</v>
      </c>
      <c r="K9" s="10">
        <v>-1.2E-2</v>
      </c>
    </row>
    <row r="10" spans="2:11" x14ac:dyDescent="0.3">
      <c r="B10" s="9">
        <v>6</v>
      </c>
      <c r="C10" s="9" t="s">
        <v>13</v>
      </c>
      <c r="D10" s="10">
        <v>123.601</v>
      </c>
      <c r="E10" s="10">
        <v>1.841</v>
      </c>
      <c r="F10" s="10">
        <v>1.292</v>
      </c>
      <c r="G10" s="10">
        <v>0.44400000000000001</v>
      </c>
      <c r="H10" s="10">
        <v>0.24099999999999999</v>
      </c>
      <c r="I10" s="10">
        <v>40</v>
      </c>
      <c r="J10" s="10">
        <v>340</v>
      </c>
      <c r="K10" s="10">
        <v>-3.1E-2</v>
      </c>
    </row>
    <row r="11" spans="2:11" x14ac:dyDescent="0.3">
      <c r="B11" s="9">
        <v>7</v>
      </c>
      <c r="C11" s="9" t="s">
        <v>14</v>
      </c>
      <c r="D11" s="10">
        <v>142.14500000000001</v>
      </c>
      <c r="E11" s="10">
        <v>1.9950000000000001</v>
      </c>
      <c r="F11" s="10">
        <v>1.72</v>
      </c>
      <c r="G11" s="10">
        <v>1.0269999999999999</v>
      </c>
      <c r="H11" s="10">
        <v>0.51500000000000001</v>
      </c>
      <c r="I11" s="10">
        <v>40</v>
      </c>
      <c r="J11" s="10">
        <v>340</v>
      </c>
      <c r="K11" s="10">
        <v>-3.3000000000000002E-2</v>
      </c>
    </row>
    <row r="12" spans="2:11" x14ac:dyDescent="0.3">
      <c r="B12" s="9">
        <v>8</v>
      </c>
      <c r="C12" s="9" t="s">
        <v>15</v>
      </c>
      <c r="D12" s="10">
        <v>123.04</v>
      </c>
      <c r="E12" s="10">
        <v>2.04</v>
      </c>
      <c r="F12" s="10">
        <v>1.8620000000000001</v>
      </c>
      <c r="G12" s="10">
        <v>4.9009999999999998</v>
      </c>
      <c r="H12" s="10">
        <v>2.403</v>
      </c>
      <c r="I12" s="10">
        <v>40</v>
      </c>
      <c r="J12" s="10">
        <v>340</v>
      </c>
      <c r="K12" s="10">
        <v>5.7000000000000002E-2</v>
      </c>
    </row>
    <row r="13" spans="2:11" x14ac:dyDescent="0.3">
      <c r="B13" s="9">
        <v>9</v>
      </c>
      <c r="C13" s="9" t="s">
        <v>13</v>
      </c>
      <c r="D13" s="10">
        <v>76.531999999999996</v>
      </c>
      <c r="E13" s="10">
        <v>1.98</v>
      </c>
      <c r="F13" s="10">
        <v>1.7150000000000001</v>
      </c>
      <c r="G13" s="10">
        <v>1.8029999999999999</v>
      </c>
      <c r="H13" s="10">
        <v>0.91100000000000003</v>
      </c>
      <c r="I13" s="10">
        <v>40</v>
      </c>
      <c r="J13" s="10">
        <v>340</v>
      </c>
      <c r="K13" s="10">
        <v>0.02</v>
      </c>
    </row>
    <row r="14" spans="2:11" x14ac:dyDescent="0.3">
      <c r="B14" s="9">
        <v>10</v>
      </c>
      <c r="C14" s="9" t="s">
        <v>13</v>
      </c>
      <c r="D14" s="10">
        <v>72.108000000000004</v>
      </c>
      <c r="E14" s="10">
        <v>2.024</v>
      </c>
      <c r="F14" s="10">
        <v>1.895</v>
      </c>
      <c r="G14" s="10">
        <v>2.79</v>
      </c>
      <c r="H14" s="10">
        <v>1.379</v>
      </c>
      <c r="I14" s="10">
        <v>40</v>
      </c>
      <c r="J14" s="10">
        <v>340</v>
      </c>
      <c r="K14" s="10">
        <v>-3.0000000000000001E-3</v>
      </c>
    </row>
    <row r="15" spans="2:11" x14ac:dyDescent="0.3">
      <c r="B15" s="9">
        <v>11</v>
      </c>
      <c r="C15" s="9" t="s">
        <v>13</v>
      </c>
      <c r="D15" s="10">
        <v>61.91</v>
      </c>
      <c r="E15" s="10">
        <v>2.0249999999999999</v>
      </c>
      <c r="F15" s="10">
        <v>1.7709999999999999</v>
      </c>
      <c r="G15" s="10">
        <v>3.6419999999999999</v>
      </c>
      <c r="H15" s="10">
        <v>1.7989999999999999</v>
      </c>
      <c r="I15" s="10">
        <v>40</v>
      </c>
      <c r="J15" s="10">
        <v>340</v>
      </c>
      <c r="K15" s="10">
        <v>6.9000000000000006E-2</v>
      </c>
    </row>
    <row r="16" spans="2:11" x14ac:dyDescent="0.3">
      <c r="B16" s="9">
        <v>12</v>
      </c>
      <c r="C16" s="9" t="s">
        <v>15</v>
      </c>
      <c r="D16" s="10">
        <v>80.835999999999999</v>
      </c>
      <c r="E16" s="10">
        <v>2.0150000000000001</v>
      </c>
      <c r="F16" s="10">
        <v>1.782</v>
      </c>
      <c r="G16" s="10">
        <v>0.96099999999999997</v>
      </c>
      <c r="H16" s="10">
        <v>0.47699999999999998</v>
      </c>
      <c r="I16" s="10">
        <v>40</v>
      </c>
      <c r="J16" s="10">
        <v>340</v>
      </c>
      <c r="K16" s="10">
        <v>0.37</v>
      </c>
    </row>
    <row r="17" spans="2:11" x14ac:dyDescent="0.3">
      <c r="B17" s="9">
        <v>13</v>
      </c>
      <c r="C17" s="9" t="s">
        <v>14</v>
      </c>
      <c r="D17" s="10">
        <v>121.837</v>
      </c>
      <c r="E17" s="10">
        <v>1.923</v>
      </c>
      <c r="F17" s="10">
        <v>1.6759999999999999</v>
      </c>
      <c r="G17" s="10">
        <v>0.57499999999999996</v>
      </c>
      <c r="H17" s="10">
        <v>0.29899999999999999</v>
      </c>
      <c r="I17" s="10">
        <v>40</v>
      </c>
      <c r="J17" s="10">
        <v>340</v>
      </c>
      <c r="K17" s="10">
        <v>-2.8000000000000001E-2</v>
      </c>
    </row>
    <row r="18" spans="2:11" x14ac:dyDescent="0.3">
      <c r="B18" s="9">
        <v>14</v>
      </c>
      <c r="C18" s="9" t="s">
        <v>16</v>
      </c>
      <c r="D18" s="10">
        <v>196.024</v>
      </c>
      <c r="E18" s="10">
        <v>2.0249999999999999</v>
      </c>
      <c r="F18" s="10">
        <v>1.8420000000000001</v>
      </c>
      <c r="G18" s="10">
        <v>1.1519999999999999</v>
      </c>
      <c r="H18" s="10">
        <v>0.56899999999999995</v>
      </c>
      <c r="I18" s="10">
        <v>40</v>
      </c>
      <c r="J18" s="10">
        <v>340</v>
      </c>
      <c r="K18" s="10">
        <v>-8.0000000000000002E-3</v>
      </c>
    </row>
    <row r="19" spans="2:11" x14ac:dyDescent="0.3">
      <c r="B19" s="9">
        <v>15</v>
      </c>
      <c r="C19" s="9" t="s">
        <v>14</v>
      </c>
      <c r="D19" s="10">
        <v>81.103999999999999</v>
      </c>
      <c r="E19" s="10">
        <v>2.0059999999999998</v>
      </c>
      <c r="F19" s="10">
        <v>1.7230000000000001</v>
      </c>
      <c r="G19" s="10">
        <v>1.262</v>
      </c>
      <c r="H19" s="10">
        <v>0.629</v>
      </c>
      <c r="I19" s="10">
        <v>40</v>
      </c>
      <c r="J19" s="10">
        <v>340</v>
      </c>
      <c r="K19" s="10">
        <v>-2E-3</v>
      </c>
    </row>
    <row r="20" spans="2:11" x14ac:dyDescent="0.3">
      <c r="B20" s="9">
        <v>16</v>
      </c>
      <c r="C20" s="9" t="s">
        <v>15</v>
      </c>
      <c r="D20" s="10">
        <v>58.957000000000001</v>
      </c>
      <c r="E20" s="10">
        <v>2.0449999999999999</v>
      </c>
      <c r="F20" s="10">
        <v>1.925</v>
      </c>
      <c r="G20" s="10">
        <v>4.3620000000000001</v>
      </c>
      <c r="H20" s="10">
        <v>2.133</v>
      </c>
      <c r="I20" s="10">
        <v>40</v>
      </c>
      <c r="J20" s="10">
        <v>340</v>
      </c>
      <c r="K20" s="10">
        <v>7.1999999999999995E-2</v>
      </c>
    </row>
    <row r="21" spans="2:11" x14ac:dyDescent="0.3">
      <c r="B21" s="9">
        <v>17</v>
      </c>
      <c r="C21" s="9" t="s">
        <v>13</v>
      </c>
      <c r="D21" s="10">
        <v>53.323</v>
      </c>
      <c r="E21" s="10">
        <v>2.0499999999999998</v>
      </c>
      <c r="F21" s="10">
        <v>1.948</v>
      </c>
      <c r="G21" s="10">
        <v>3.0960000000000001</v>
      </c>
      <c r="H21" s="10">
        <v>1.51</v>
      </c>
      <c r="I21" s="10">
        <v>40</v>
      </c>
      <c r="J21" s="10">
        <v>340</v>
      </c>
      <c r="K21" s="10">
        <v>8.9999999999999993E-3</v>
      </c>
    </row>
    <row r="22" spans="2:11" x14ac:dyDescent="0.3">
      <c r="B22" s="9">
        <v>18</v>
      </c>
      <c r="C22" s="9" t="s">
        <v>16</v>
      </c>
      <c r="D22" s="10">
        <v>164.87100000000001</v>
      </c>
      <c r="E22" s="10">
        <v>2.0019999999999998</v>
      </c>
      <c r="F22" s="10">
        <v>1.8380000000000001</v>
      </c>
      <c r="G22" s="10">
        <v>1.228</v>
      </c>
      <c r="H22" s="10">
        <v>0.61399999999999999</v>
      </c>
      <c r="I22" s="10">
        <v>40</v>
      </c>
      <c r="J22" s="10">
        <v>340</v>
      </c>
      <c r="K22" s="10">
        <v>-0.01</v>
      </c>
    </row>
    <row r="23" spans="2:11" x14ac:dyDescent="0.3">
      <c r="B23" s="9">
        <v>19</v>
      </c>
      <c r="C23" s="9" t="s">
        <v>14</v>
      </c>
      <c r="D23" s="10">
        <v>77.024000000000001</v>
      </c>
      <c r="E23" s="10">
        <v>2.052</v>
      </c>
      <c r="F23" s="10">
        <v>1.986</v>
      </c>
      <c r="G23" s="10">
        <v>1.913</v>
      </c>
      <c r="H23" s="10">
        <v>0.93200000000000005</v>
      </c>
      <c r="I23" s="10">
        <v>40</v>
      </c>
      <c r="J23" s="10">
        <v>340</v>
      </c>
      <c r="K23" s="10">
        <v>-8.0000000000000002E-3</v>
      </c>
    </row>
    <row r="24" spans="2:11" x14ac:dyDescent="0.3">
      <c r="B24" s="9">
        <v>20</v>
      </c>
      <c r="C24" s="9" t="s">
        <v>14</v>
      </c>
      <c r="D24" s="10">
        <v>72.787000000000006</v>
      </c>
      <c r="E24" s="10">
        <v>1.982</v>
      </c>
      <c r="F24" s="10">
        <v>1.8979999999999999</v>
      </c>
      <c r="G24" s="10">
        <v>0.93500000000000005</v>
      </c>
      <c r="H24" s="10">
        <v>0.47199999999999998</v>
      </c>
      <c r="I24" s="10">
        <v>40</v>
      </c>
      <c r="J24" s="10">
        <v>340</v>
      </c>
      <c r="K24" s="10">
        <v>-2.9000000000000001E-2</v>
      </c>
    </row>
    <row r="25" spans="2:11" x14ac:dyDescent="0.3">
      <c r="B25" s="9">
        <v>21</v>
      </c>
      <c r="C25" s="9" t="s">
        <v>16</v>
      </c>
      <c r="D25" s="10">
        <v>112.71299999999999</v>
      </c>
      <c r="E25" s="10">
        <v>1.839</v>
      </c>
      <c r="F25" s="10">
        <v>1.9910000000000001</v>
      </c>
      <c r="G25" s="10">
        <v>0.96599999999999997</v>
      </c>
      <c r="H25" s="10">
        <v>0.52600000000000002</v>
      </c>
      <c r="I25" s="10">
        <v>40</v>
      </c>
      <c r="J25" s="10">
        <v>340</v>
      </c>
      <c r="K25" s="10">
        <v>-0.35399999999999998</v>
      </c>
    </row>
    <row r="26" spans="2:11" x14ac:dyDescent="0.3">
      <c r="B26" s="9">
        <v>22</v>
      </c>
      <c r="C26" s="9" t="s">
        <v>15</v>
      </c>
      <c r="D26" s="10">
        <v>56.529000000000003</v>
      </c>
      <c r="E26" s="10">
        <v>2.133</v>
      </c>
      <c r="F26" s="10">
        <v>2.27</v>
      </c>
      <c r="G26" s="10">
        <v>3.0459999999999998</v>
      </c>
      <c r="H26" s="10">
        <v>1.4279999999999999</v>
      </c>
      <c r="I26" s="10">
        <v>40</v>
      </c>
      <c r="J26" s="10">
        <v>340</v>
      </c>
      <c r="K26" s="10">
        <v>1.9E-2</v>
      </c>
    </row>
    <row r="27" spans="2:11" x14ac:dyDescent="0.3">
      <c r="B27" s="9">
        <v>23</v>
      </c>
      <c r="C27" s="9" t="s">
        <v>16</v>
      </c>
      <c r="D27" s="10">
        <v>111.592</v>
      </c>
      <c r="E27" s="10">
        <v>2.1019999999999999</v>
      </c>
      <c r="F27" s="10">
        <v>2.137</v>
      </c>
      <c r="G27" s="10">
        <v>2.8180000000000001</v>
      </c>
      <c r="H27" s="10">
        <v>1.34</v>
      </c>
      <c r="I27" s="10">
        <v>40</v>
      </c>
      <c r="J27" s="10">
        <v>340</v>
      </c>
      <c r="K27" s="10">
        <v>0.109</v>
      </c>
    </row>
    <row r="28" spans="2:11" x14ac:dyDescent="0.3">
      <c r="B28" s="9">
        <v>24</v>
      </c>
      <c r="C28" s="9" t="s">
        <v>16</v>
      </c>
      <c r="D28" s="10">
        <v>89.100999999999999</v>
      </c>
      <c r="E28" s="10">
        <v>2.044</v>
      </c>
      <c r="F28" s="10">
        <v>2.0499999999999998</v>
      </c>
      <c r="G28" s="10">
        <v>1.9259999999999999</v>
      </c>
      <c r="H28" s="10">
        <v>0.94199999999999995</v>
      </c>
      <c r="I28" s="10">
        <v>40</v>
      </c>
      <c r="J28" s="10">
        <v>340</v>
      </c>
      <c r="K28" s="10">
        <v>2.5999999999999999E-2</v>
      </c>
    </row>
    <row r="29" spans="2:11" x14ac:dyDescent="0.3">
      <c r="B29" s="9">
        <v>25</v>
      </c>
      <c r="C29" s="9" t="s">
        <v>16</v>
      </c>
      <c r="D29" s="10">
        <v>81.787999999999997</v>
      </c>
      <c r="E29" s="10">
        <v>2.0179999999999998</v>
      </c>
      <c r="F29" s="10">
        <v>1.7629999999999999</v>
      </c>
      <c r="G29" s="10">
        <v>2.0209999999999999</v>
      </c>
      <c r="H29" s="10">
        <v>1.0009999999999999</v>
      </c>
      <c r="I29" s="10">
        <v>40</v>
      </c>
      <c r="J29" s="10">
        <v>340</v>
      </c>
      <c r="K29" s="10">
        <v>0.151</v>
      </c>
    </row>
    <row r="30" spans="2:11" x14ac:dyDescent="0.3">
      <c r="B30" s="9">
        <v>26</v>
      </c>
      <c r="C30" s="9" t="s">
        <v>16</v>
      </c>
      <c r="D30" s="10">
        <v>58.557000000000002</v>
      </c>
      <c r="E30" s="10">
        <v>2.0430000000000001</v>
      </c>
      <c r="F30" s="10">
        <v>1.915</v>
      </c>
      <c r="G30" s="10">
        <v>1.125</v>
      </c>
      <c r="H30" s="10">
        <v>0.55100000000000005</v>
      </c>
      <c r="I30" s="10">
        <v>40</v>
      </c>
      <c r="J30" s="10">
        <v>340</v>
      </c>
      <c r="K30" s="10">
        <v>1.2E-2</v>
      </c>
    </row>
    <row r="31" spans="2:11" x14ac:dyDescent="0.3">
      <c r="B31" s="9">
        <v>27</v>
      </c>
      <c r="C31" s="9" t="s">
        <v>15</v>
      </c>
      <c r="D31" s="10">
        <v>52.491999999999997</v>
      </c>
      <c r="E31" s="10">
        <v>1.944</v>
      </c>
      <c r="F31" s="10">
        <v>0.98</v>
      </c>
      <c r="G31" s="10">
        <v>0.41399999999999998</v>
      </c>
      <c r="H31" s="10">
        <v>0.21299999999999999</v>
      </c>
      <c r="I31" s="10">
        <v>40</v>
      </c>
      <c r="J31" s="10">
        <v>340</v>
      </c>
      <c r="K31" s="10">
        <v>3.9E-2</v>
      </c>
    </row>
    <row r="32" spans="2:11" x14ac:dyDescent="0.3">
      <c r="B32" s="9">
        <v>28</v>
      </c>
      <c r="C32" s="9" t="s">
        <v>16</v>
      </c>
      <c r="D32" s="10">
        <v>52.893000000000001</v>
      </c>
      <c r="E32" s="10">
        <v>2.0430000000000001</v>
      </c>
      <c r="F32" s="10">
        <v>1.819</v>
      </c>
      <c r="G32" s="10">
        <v>1.145</v>
      </c>
      <c r="H32" s="10">
        <v>0.56000000000000005</v>
      </c>
      <c r="I32" s="10">
        <v>40</v>
      </c>
      <c r="J32" s="10">
        <v>340</v>
      </c>
      <c r="K32" s="10">
        <v>0.13800000000000001</v>
      </c>
    </row>
    <row r="33" spans="2:11" x14ac:dyDescent="0.3">
      <c r="B33" s="9">
        <v>29</v>
      </c>
      <c r="C33" s="9" t="s">
        <v>14</v>
      </c>
      <c r="D33" s="10">
        <v>51.87</v>
      </c>
      <c r="E33" s="10">
        <v>1.6679999999999999</v>
      </c>
      <c r="F33" s="10">
        <v>0.36599999999999999</v>
      </c>
      <c r="G33" s="10">
        <v>0.40300000000000002</v>
      </c>
      <c r="H33" s="10">
        <v>0.24199999999999999</v>
      </c>
      <c r="I33" s="10">
        <v>40</v>
      </c>
      <c r="J33" s="10">
        <v>340</v>
      </c>
      <c r="K33" s="10">
        <v>8.5000000000000006E-2</v>
      </c>
    </row>
    <row r="34" spans="2:11" x14ac:dyDescent="0.3">
      <c r="B34" s="9">
        <v>30</v>
      </c>
      <c r="C34" s="9" t="s">
        <v>14</v>
      </c>
      <c r="D34" s="10">
        <v>47.298999999999999</v>
      </c>
      <c r="E34" s="10">
        <v>1.988</v>
      </c>
      <c r="F34" s="10">
        <v>1.282</v>
      </c>
      <c r="G34" s="10">
        <v>0.71499999999999997</v>
      </c>
      <c r="H34" s="10">
        <v>0.35899999999999999</v>
      </c>
      <c r="I34" s="10">
        <v>40</v>
      </c>
      <c r="J34" s="10">
        <v>340</v>
      </c>
      <c r="K34" s="10">
        <v>4.1000000000000002E-2</v>
      </c>
    </row>
    <row r="35" spans="2:11" x14ac:dyDescent="0.3">
      <c r="B35" s="9">
        <v>31</v>
      </c>
      <c r="C35" s="9" t="s">
        <v>14</v>
      </c>
      <c r="D35" s="10">
        <v>46.097000000000001</v>
      </c>
      <c r="E35" s="10">
        <v>2.0139999999999998</v>
      </c>
      <c r="F35" s="10">
        <v>1.3620000000000001</v>
      </c>
      <c r="G35" s="10">
        <v>1.01</v>
      </c>
      <c r="H35" s="10">
        <v>0.502</v>
      </c>
      <c r="I35" s="10">
        <v>40</v>
      </c>
      <c r="J35" s="10">
        <v>340</v>
      </c>
      <c r="K35" s="10">
        <v>0.249</v>
      </c>
    </row>
    <row r="36" spans="2:11" x14ac:dyDescent="0.3">
      <c r="B36" s="9">
        <v>32</v>
      </c>
      <c r="C36" s="9" t="s">
        <v>15</v>
      </c>
      <c r="D36" s="10">
        <v>50.476999999999997</v>
      </c>
      <c r="E36" s="10">
        <v>1.8720000000000001</v>
      </c>
      <c r="F36" s="10">
        <v>0.71099999999999997</v>
      </c>
      <c r="G36" s="10">
        <v>0.30099999999999999</v>
      </c>
      <c r="H36" s="10">
        <v>0.161</v>
      </c>
      <c r="I36" s="10">
        <v>40</v>
      </c>
      <c r="J36" s="10">
        <v>340</v>
      </c>
      <c r="K36" s="10">
        <v>0.68500000000000005</v>
      </c>
    </row>
    <row r="37" spans="2:11" x14ac:dyDescent="0.3">
      <c r="B37" s="9">
        <v>33</v>
      </c>
      <c r="C37" s="9" t="s">
        <v>14</v>
      </c>
      <c r="D37" s="10">
        <v>42.996000000000002</v>
      </c>
      <c r="E37" s="10">
        <v>2.0419999999999998</v>
      </c>
      <c r="F37" s="10">
        <v>1.2949999999999999</v>
      </c>
      <c r="G37" s="10">
        <v>0.52500000000000002</v>
      </c>
      <c r="H37" s="10">
        <v>0.25700000000000001</v>
      </c>
      <c r="I37" s="10">
        <v>40</v>
      </c>
      <c r="J37" s="10">
        <v>340</v>
      </c>
      <c r="K37" s="10">
        <v>2.7E-2</v>
      </c>
    </row>
    <row r="38" spans="2:11" x14ac:dyDescent="0.3">
      <c r="B38" s="9">
        <v>34</v>
      </c>
      <c r="C38" s="9" t="s">
        <v>15</v>
      </c>
      <c r="D38" s="10">
        <v>49.127000000000002</v>
      </c>
      <c r="E38" s="10">
        <v>1.944</v>
      </c>
      <c r="F38" s="10">
        <v>1.0329999999999999</v>
      </c>
      <c r="G38" s="10">
        <v>0.51600000000000001</v>
      </c>
      <c r="H38" s="10">
        <v>0.26500000000000001</v>
      </c>
      <c r="I38" s="10">
        <v>40</v>
      </c>
      <c r="J38" s="10">
        <v>340</v>
      </c>
      <c r="K38" s="10">
        <v>0.27400000000000002</v>
      </c>
    </row>
    <row r="39" spans="2:11" x14ac:dyDescent="0.3">
      <c r="B39" s="9">
        <v>35</v>
      </c>
      <c r="C39" s="9" t="s">
        <v>16</v>
      </c>
      <c r="D39" s="10">
        <v>45.790999999999997</v>
      </c>
      <c r="E39" s="10">
        <v>1.9990000000000001</v>
      </c>
      <c r="F39" s="10">
        <v>1.5469999999999999</v>
      </c>
      <c r="G39" s="10">
        <v>0.71599999999999997</v>
      </c>
      <c r="H39" s="10">
        <v>0.35799999999999998</v>
      </c>
      <c r="I39" s="10">
        <v>40</v>
      </c>
      <c r="J39" s="10">
        <v>340</v>
      </c>
      <c r="K39" s="10">
        <v>4.9000000000000002E-2</v>
      </c>
    </row>
    <row r="40" spans="2:11" x14ac:dyDescent="0.3">
      <c r="B40" s="9">
        <v>36</v>
      </c>
      <c r="C40" s="9" t="s">
        <v>15</v>
      </c>
      <c r="D40" s="10">
        <v>41.097000000000001</v>
      </c>
      <c r="E40" s="10">
        <v>1.9339999999999999</v>
      </c>
      <c r="F40" s="10">
        <v>1.054</v>
      </c>
      <c r="G40" s="10">
        <v>1.1819999999999999</v>
      </c>
      <c r="H40" s="10">
        <v>0.61099999999999999</v>
      </c>
      <c r="I40" s="10">
        <v>40</v>
      </c>
      <c r="J40" s="10">
        <v>340</v>
      </c>
      <c r="K40" s="10">
        <v>0.41199999999999998</v>
      </c>
    </row>
    <row r="41" spans="2:11" x14ac:dyDescent="0.3">
      <c r="B41" s="9">
        <v>37</v>
      </c>
      <c r="C41" s="9" t="s">
        <v>16</v>
      </c>
      <c r="D41" s="10">
        <v>37.396999999999998</v>
      </c>
      <c r="E41" s="10">
        <v>2.0659999999999998</v>
      </c>
      <c r="F41" s="10">
        <v>1.585</v>
      </c>
      <c r="G41" s="10">
        <v>1.413</v>
      </c>
      <c r="H41" s="10">
        <v>0.68400000000000005</v>
      </c>
      <c r="I41" s="10">
        <v>40</v>
      </c>
      <c r="J41" s="10">
        <v>340</v>
      </c>
      <c r="K41" s="10">
        <v>0.13400000000000001</v>
      </c>
    </row>
    <row r="42" spans="2:11" x14ac:dyDescent="0.3">
      <c r="B42" s="9">
        <v>38</v>
      </c>
      <c r="C42" s="9" t="s">
        <v>16</v>
      </c>
      <c r="D42" s="10">
        <v>30</v>
      </c>
      <c r="E42" s="10">
        <v>2.016</v>
      </c>
      <c r="F42" s="10">
        <v>1.375</v>
      </c>
      <c r="G42" s="10">
        <v>1.333</v>
      </c>
      <c r="H42" s="10">
        <v>0.66100000000000003</v>
      </c>
      <c r="I42" s="10">
        <v>40</v>
      </c>
      <c r="J42" s="10">
        <v>340</v>
      </c>
      <c r="K42" s="10">
        <v>0.41799999999999998</v>
      </c>
    </row>
    <row r="43" spans="2:11" x14ac:dyDescent="0.3">
      <c r="B43" s="9">
        <v>39</v>
      </c>
      <c r="C43" s="9" t="s">
        <v>15</v>
      </c>
      <c r="D43" s="10">
        <v>32.170999999999999</v>
      </c>
      <c r="E43" s="10">
        <v>2.0390000000000001</v>
      </c>
      <c r="F43" s="10">
        <v>1.4590000000000001</v>
      </c>
      <c r="G43" s="10">
        <v>1.474</v>
      </c>
      <c r="H43" s="10">
        <v>0.72299999999999998</v>
      </c>
      <c r="I43" s="10">
        <v>40</v>
      </c>
      <c r="J43" s="10">
        <v>340</v>
      </c>
      <c r="K43" s="10">
        <v>0.26600000000000001</v>
      </c>
    </row>
    <row r="44" spans="2:11" x14ac:dyDescent="0.3">
      <c r="B44" s="9">
        <v>40</v>
      </c>
      <c r="C44" s="9" t="s">
        <v>15</v>
      </c>
      <c r="D44" s="10">
        <v>29.018999999999998</v>
      </c>
      <c r="E44" s="10">
        <v>2.0129999999999999</v>
      </c>
      <c r="F44" s="10">
        <v>1.23</v>
      </c>
      <c r="G44" s="10">
        <v>0.51100000000000001</v>
      </c>
      <c r="H44" s="10">
        <v>0.254</v>
      </c>
      <c r="I44" s="10">
        <v>40</v>
      </c>
      <c r="J44" s="10">
        <v>340</v>
      </c>
      <c r="K44" s="10">
        <v>8.3000000000000004E-2</v>
      </c>
    </row>
    <row r="45" spans="2:11" x14ac:dyDescent="0.3">
      <c r="B45" s="9">
        <v>41</v>
      </c>
      <c r="C45" s="9" t="s">
        <v>15</v>
      </c>
      <c r="D45" s="10">
        <v>28.59</v>
      </c>
      <c r="E45" s="10">
        <v>2.0489999999999999</v>
      </c>
      <c r="F45" s="10">
        <v>1.5309999999999999</v>
      </c>
      <c r="G45" s="10">
        <v>1.075</v>
      </c>
      <c r="H45" s="10">
        <v>0.52500000000000002</v>
      </c>
      <c r="I45" s="10">
        <v>40</v>
      </c>
      <c r="J45" s="10">
        <v>340</v>
      </c>
      <c r="K45" s="10">
        <v>2.8000000000000001E-2</v>
      </c>
    </row>
    <row r="46" spans="2:11" x14ac:dyDescent="0.3">
      <c r="B46" s="9">
        <v>42</v>
      </c>
      <c r="C46" s="9" t="s">
        <v>15</v>
      </c>
      <c r="D46" s="10">
        <v>17.757000000000001</v>
      </c>
      <c r="E46" s="10" t="s">
        <v>9</v>
      </c>
      <c r="F46" s="10" t="s">
        <v>9</v>
      </c>
      <c r="G46" s="10" t="s">
        <v>9</v>
      </c>
      <c r="H46" s="10" t="s">
        <v>9</v>
      </c>
      <c r="I46" s="10" t="s">
        <v>9</v>
      </c>
      <c r="J46" s="10" t="s">
        <v>9</v>
      </c>
      <c r="K46" s="10" t="s">
        <v>9</v>
      </c>
    </row>
    <row r="47" spans="2:11" x14ac:dyDescent="0.3">
      <c r="B47" s="9">
        <v>43</v>
      </c>
      <c r="C47" s="9" t="s">
        <v>15</v>
      </c>
      <c r="D47" s="10">
        <v>16.552</v>
      </c>
      <c r="E47" s="10">
        <v>2.0409999999999999</v>
      </c>
      <c r="F47" s="10">
        <v>1.462</v>
      </c>
      <c r="G47" s="10">
        <v>0.90400000000000003</v>
      </c>
      <c r="H47" s="10">
        <v>0.443</v>
      </c>
      <c r="I47" s="10">
        <v>40</v>
      </c>
      <c r="J47" s="10">
        <v>340</v>
      </c>
      <c r="K47" s="10">
        <v>3.0000000000000001E-3</v>
      </c>
    </row>
    <row r="48" spans="2:11" x14ac:dyDescent="0.3">
      <c r="B48" s="9">
        <v>44</v>
      </c>
      <c r="C48" s="9" t="s">
        <v>16</v>
      </c>
      <c r="D48" s="10">
        <v>23.004000000000001</v>
      </c>
      <c r="E48" s="10">
        <v>2.0499999999999998</v>
      </c>
      <c r="F48" s="10">
        <v>1.9870000000000001</v>
      </c>
      <c r="G48" s="10">
        <v>2.0449999999999999</v>
      </c>
      <c r="H48" s="10">
        <v>0.998</v>
      </c>
      <c r="I48" s="10">
        <v>40</v>
      </c>
      <c r="J48" s="10">
        <v>340</v>
      </c>
      <c r="K48" s="10">
        <v>0.04</v>
      </c>
    </row>
    <row r="49" spans="2:11" x14ac:dyDescent="0.3">
      <c r="B49" s="9">
        <v>45</v>
      </c>
      <c r="C49" s="9" t="s">
        <v>14</v>
      </c>
      <c r="D49" s="10">
        <v>38.442999999999998</v>
      </c>
      <c r="E49" s="10">
        <v>2.0379999999999998</v>
      </c>
      <c r="F49" s="10">
        <v>1.948</v>
      </c>
      <c r="G49" s="10">
        <v>1.82</v>
      </c>
      <c r="H49" s="10">
        <v>0.89300000000000002</v>
      </c>
      <c r="I49" s="10">
        <v>40</v>
      </c>
      <c r="J49" s="10">
        <v>340</v>
      </c>
      <c r="K49" s="10">
        <v>1.9E-2</v>
      </c>
    </row>
    <row r="50" spans="2:11" x14ac:dyDescent="0.3">
      <c r="B50" s="9">
        <v>46</v>
      </c>
      <c r="C50" s="9" t="s">
        <v>16</v>
      </c>
      <c r="D50" s="10">
        <v>21.010999999999999</v>
      </c>
      <c r="E50" s="10">
        <v>2.0390000000000001</v>
      </c>
      <c r="F50" s="10">
        <v>1.885</v>
      </c>
      <c r="G50" s="10">
        <v>1.3120000000000001</v>
      </c>
      <c r="H50" s="10">
        <v>0.64300000000000002</v>
      </c>
      <c r="I50" s="10">
        <v>40</v>
      </c>
      <c r="J50" s="10">
        <v>340</v>
      </c>
      <c r="K50" s="10">
        <v>0.01</v>
      </c>
    </row>
    <row r="51" spans="2:11" x14ac:dyDescent="0.3">
      <c r="B51" s="9">
        <v>47</v>
      </c>
      <c r="C51" s="9" t="s">
        <v>16</v>
      </c>
      <c r="D51" s="10">
        <v>20.635999999999999</v>
      </c>
      <c r="E51" s="10">
        <v>2.0750000000000002</v>
      </c>
      <c r="F51" s="10">
        <v>2.0499999999999998</v>
      </c>
      <c r="G51" s="10">
        <v>6.4269999999999996</v>
      </c>
      <c r="H51" s="10">
        <v>3.097</v>
      </c>
      <c r="I51" s="10">
        <v>40</v>
      </c>
      <c r="J51" s="10">
        <v>340</v>
      </c>
      <c r="K51" s="10">
        <v>3.7999999999999999E-2</v>
      </c>
    </row>
    <row r="52" spans="2:11" x14ac:dyDescent="0.3">
      <c r="B52" s="9">
        <v>48</v>
      </c>
      <c r="C52" s="9" t="s">
        <v>13</v>
      </c>
      <c r="D52" s="10">
        <v>44.994999999999997</v>
      </c>
      <c r="E52" s="10">
        <v>10.491</v>
      </c>
      <c r="F52" s="10">
        <v>-6.1269999999999998</v>
      </c>
      <c r="G52" s="10">
        <v>0.497</v>
      </c>
      <c r="H52" s="10">
        <v>4.7E-2</v>
      </c>
      <c r="I52" s="10">
        <v>40</v>
      </c>
      <c r="J52" s="10">
        <v>340</v>
      </c>
      <c r="K52" s="10">
        <v>25.356999999999999</v>
      </c>
    </row>
    <row r="53" spans="2:11" x14ac:dyDescent="0.3">
      <c r="B53" s="9">
        <v>49</v>
      </c>
      <c r="C53" s="9" t="s">
        <v>14</v>
      </c>
      <c r="D53" s="10">
        <v>33.799999999999997</v>
      </c>
      <c r="E53" s="10">
        <v>2.0150000000000001</v>
      </c>
      <c r="F53" s="10">
        <v>1.427</v>
      </c>
      <c r="G53" s="10">
        <v>0.80400000000000005</v>
      </c>
      <c r="H53" s="10">
        <v>0.39900000000000002</v>
      </c>
      <c r="I53" s="10">
        <v>40</v>
      </c>
      <c r="J53" s="10">
        <v>340</v>
      </c>
      <c r="K53" s="10">
        <v>0.03</v>
      </c>
    </row>
    <row r="54" spans="2:11" x14ac:dyDescent="0.3">
      <c r="B54" s="9">
        <v>50</v>
      </c>
      <c r="C54" s="9" t="s">
        <v>13</v>
      </c>
      <c r="D54" s="10">
        <v>40.409999999999997</v>
      </c>
      <c r="E54" s="10">
        <v>2.0449999999999999</v>
      </c>
      <c r="F54" s="10">
        <v>1.67</v>
      </c>
      <c r="G54" s="10">
        <v>1.464</v>
      </c>
      <c r="H54" s="10">
        <v>0.71599999999999997</v>
      </c>
      <c r="I54" s="10">
        <v>40</v>
      </c>
      <c r="J54" s="10">
        <v>340</v>
      </c>
      <c r="K54" s="10">
        <v>-6.0000000000000001E-3</v>
      </c>
    </row>
    <row r="55" spans="2:11" x14ac:dyDescent="0.3">
      <c r="B55" s="9">
        <v>51</v>
      </c>
      <c r="C55" s="9" t="s">
        <v>13</v>
      </c>
      <c r="D55" s="10">
        <v>38.652999999999999</v>
      </c>
      <c r="E55" s="10">
        <v>2.101</v>
      </c>
      <c r="F55" s="10">
        <v>2.0049999999999999</v>
      </c>
      <c r="G55" s="10">
        <v>1.2969999999999999</v>
      </c>
      <c r="H55" s="10">
        <v>0.61699999999999999</v>
      </c>
      <c r="I55" s="10">
        <v>40</v>
      </c>
      <c r="J55" s="10">
        <v>340</v>
      </c>
      <c r="K55" s="10">
        <v>-1.6E-2</v>
      </c>
    </row>
    <row r="56" spans="2:11" x14ac:dyDescent="0.3">
      <c r="B56" s="9">
        <v>52</v>
      </c>
      <c r="C56" s="9" t="s">
        <v>13</v>
      </c>
      <c r="D56" s="10">
        <v>36.161000000000001</v>
      </c>
      <c r="E56" s="10">
        <v>1.9970000000000001</v>
      </c>
      <c r="F56" s="10">
        <v>1.6459999999999999</v>
      </c>
      <c r="G56" s="10">
        <v>0.72499999999999998</v>
      </c>
      <c r="H56" s="10">
        <v>0.36299999999999999</v>
      </c>
      <c r="I56" s="10">
        <v>40</v>
      </c>
      <c r="J56" s="10">
        <v>340</v>
      </c>
      <c r="K56" s="10">
        <v>-2.5999999999999999E-2</v>
      </c>
    </row>
    <row r="57" spans="2:11" x14ac:dyDescent="0.3">
      <c r="B57" s="9">
        <v>53</v>
      </c>
      <c r="C57" s="9" t="s">
        <v>14</v>
      </c>
      <c r="D57" s="10">
        <v>28.635000000000002</v>
      </c>
      <c r="E57" s="10">
        <v>2.089</v>
      </c>
      <c r="F57" s="10">
        <v>2.0219999999999998</v>
      </c>
      <c r="G57" s="10">
        <v>2.2280000000000002</v>
      </c>
      <c r="H57" s="10">
        <v>1.0660000000000001</v>
      </c>
      <c r="I57" s="10">
        <v>40</v>
      </c>
      <c r="J57" s="10">
        <v>340</v>
      </c>
      <c r="K57" s="10">
        <v>1.4999999999999999E-2</v>
      </c>
    </row>
    <row r="58" spans="2:11" x14ac:dyDescent="0.3">
      <c r="B58" s="9">
        <v>54</v>
      </c>
      <c r="C58" s="9" t="s">
        <v>14</v>
      </c>
      <c r="D58" s="10">
        <v>16.126000000000001</v>
      </c>
      <c r="E58" s="10">
        <v>2.0579999999999998</v>
      </c>
      <c r="F58" s="10">
        <v>2.08</v>
      </c>
      <c r="G58" s="10">
        <v>3.5539999999999998</v>
      </c>
      <c r="H58" s="10">
        <v>1.7270000000000001</v>
      </c>
      <c r="I58" s="10">
        <v>40</v>
      </c>
      <c r="J58" s="10">
        <v>340</v>
      </c>
      <c r="K58" s="10">
        <v>-1.6E-2</v>
      </c>
    </row>
    <row r="59" spans="2:11" x14ac:dyDescent="0.3">
      <c r="B59" s="9">
        <v>55</v>
      </c>
      <c r="C59" s="9" t="s">
        <v>13</v>
      </c>
      <c r="D59" s="10">
        <v>19.896000000000001</v>
      </c>
      <c r="E59" s="10">
        <v>2.0379999999999998</v>
      </c>
      <c r="F59" s="10">
        <v>1.9410000000000001</v>
      </c>
      <c r="G59" s="10">
        <v>3.09</v>
      </c>
      <c r="H59" s="10">
        <v>1.516</v>
      </c>
      <c r="I59" s="10">
        <v>40</v>
      </c>
      <c r="J59" s="10">
        <v>340</v>
      </c>
      <c r="K59" s="10">
        <v>-8.0000000000000002E-3</v>
      </c>
    </row>
    <row r="60" spans="2:11" x14ac:dyDescent="0.3">
      <c r="B60" s="9">
        <v>56</v>
      </c>
      <c r="C60" s="9" t="s">
        <v>16</v>
      </c>
      <c r="D60" s="10">
        <v>20.422000000000001</v>
      </c>
      <c r="E60" s="10">
        <v>1.982</v>
      </c>
      <c r="F60" s="10">
        <v>1.726</v>
      </c>
      <c r="G60" s="10">
        <v>1.3220000000000001</v>
      </c>
      <c r="H60" s="10">
        <v>0.66700000000000004</v>
      </c>
      <c r="I60" s="10">
        <v>40</v>
      </c>
      <c r="J60" s="10">
        <v>340</v>
      </c>
      <c r="K60" s="10">
        <v>-0.02</v>
      </c>
    </row>
    <row r="61" spans="2:11" x14ac:dyDescent="0.3">
      <c r="B61" s="9">
        <v>57</v>
      </c>
      <c r="C61" s="9" t="s">
        <v>13</v>
      </c>
      <c r="D61" s="10">
        <v>12.045</v>
      </c>
      <c r="E61" s="10">
        <v>2.0609999999999999</v>
      </c>
      <c r="F61" s="10">
        <v>2.125</v>
      </c>
      <c r="G61" s="10">
        <v>4.1219999999999999</v>
      </c>
      <c r="H61" s="10">
        <v>2</v>
      </c>
      <c r="I61" s="10">
        <v>40</v>
      </c>
      <c r="J61" s="10">
        <v>340</v>
      </c>
      <c r="K61" s="10">
        <v>-1.7999999999999999E-2</v>
      </c>
    </row>
  </sheetData>
  <sortState xmlns:xlrd2="http://schemas.microsoft.com/office/spreadsheetml/2017/richdata2" ref="B5:K61">
    <sortCondition ref="B4:B61"/>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RNA column purified -samples 3-</vt:lpstr>
      <vt:lpstr>RNA Concentrations - Post-Colum</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Hamish Gruffydd Williams</dc:creator>
  <cp:lastModifiedBy>Hamish Gruffydd Williams</cp:lastModifiedBy>
  <dcterms:created xsi:type="dcterms:W3CDTF">2024-05-16T22:18:57Z</dcterms:created>
  <dcterms:modified xsi:type="dcterms:W3CDTF">2026-01-15T10:48:24Z</dcterms:modified>
</cp:coreProperties>
</file>