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amis\OneDrive\Documents\PhD\PhD---omics-analysis-portfolio\Chapter 1\Results\"/>
    </mc:Choice>
  </mc:AlternateContent>
  <xr:revisionPtr revIDLastSave="0" documentId="13_ncr:1_{24E1C654-0EC4-4C94-82FC-83058997BB62}" xr6:coauthVersionLast="47" xr6:coauthVersionMax="47" xr10:uidLastSave="{00000000-0000-0000-0000-000000000000}"/>
  <bookViews>
    <workbookView xWindow="28680" yWindow="-120" windowWidth="29040" windowHeight="16440" activeTab="2" xr2:uid="{3D887938-F1A2-4042-AC57-5B3C3261DBB5}"/>
  </bookViews>
  <sheets>
    <sheet name="DE_results_with_protein_namess" sheetId="1" r:id="rId1"/>
    <sheet name="Supplementary Table Data" sheetId="3" r:id="rId2"/>
    <sheet name="Sheet2" sheetId="4" r:id="rId3"/>
    <sheet name="Sheet1" sheetId="2" r:id="rId4"/>
  </sheets>
  <externalReferences>
    <externalReference r:id="rId5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24" i="4" l="1"/>
  <c r="E224" i="4"/>
  <c r="D224" i="4"/>
  <c r="F223" i="4"/>
  <c r="E223" i="4"/>
  <c r="D223" i="4"/>
  <c r="F222" i="4"/>
  <c r="E222" i="4"/>
  <c r="D222" i="4"/>
  <c r="F221" i="4"/>
  <c r="E221" i="4"/>
  <c r="D221" i="4"/>
  <c r="F220" i="4"/>
  <c r="E220" i="4"/>
  <c r="D220" i="4"/>
  <c r="F219" i="4"/>
  <c r="E219" i="4"/>
  <c r="D219" i="4"/>
  <c r="F218" i="4"/>
  <c r="E218" i="4"/>
  <c r="D218" i="4"/>
  <c r="F217" i="4"/>
  <c r="E217" i="4"/>
  <c r="D217" i="4"/>
  <c r="F216" i="4"/>
  <c r="E216" i="4"/>
  <c r="D216" i="4"/>
  <c r="F215" i="4"/>
  <c r="E215" i="4"/>
  <c r="D215" i="4"/>
  <c r="F214" i="4"/>
  <c r="E214" i="4"/>
  <c r="D214" i="4"/>
  <c r="F213" i="4"/>
  <c r="E213" i="4"/>
  <c r="D213" i="4"/>
  <c r="F212" i="4"/>
  <c r="E212" i="4"/>
  <c r="D212" i="4"/>
  <c r="F211" i="4"/>
  <c r="E211" i="4"/>
  <c r="D211" i="4"/>
  <c r="F210" i="4"/>
  <c r="E210" i="4"/>
  <c r="D210" i="4"/>
  <c r="F209" i="4"/>
  <c r="E209" i="4"/>
  <c r="D209" i="4"/>
  <c r="F208" i="4"/>
  <c r="E208" i="4"/>
  <c r="D208" i="4"/>
  <c r="F207" i="4"/>
  <c r="E207" i="4"/>
  <c r="D207" i="4"/>
  <c r="F206" i="4"/>
  <c r="E206" i="4"/>
  <c r="D206" i="4"/>
  <c r="F205" i="4"/>
  <c r="E205" i="4"/>
  <c r="D205" i="4"/>
  <c r="F204" i="4"/>
  <c r="E204" i="4"/>
  <c r="D204" i="4"/>
  <c r="F203" i="4"/>
  <c r="E203" i="4"/>
  <c r="D203" i="4"/>
  <c r="F202" i="4"/>
  <c r="E202" i="4"/>
  <c r="D202" i="4"/>
  <c r="F201" i="4"/>
  <c r="E201" i="4"/>
  <c r="D201" i="4"/>
  <c r="F200" i="4"/>
  <c r="E200" i="4"/>
  <c r="D200" i="4"/>
  <c r="F199" i="4"/>
  <c r="E199" i="4"/>
  <c r="D199" i="4"/>
  <c r="F198" i="4"/>
  <c r="E198" i="4"/>
  <c r="D198" i="4"/>
  <c r="F197" i="4"/>
  <c r="E197" i="4"/>
  <c r="D197" i="4"/>
  <c r="F196" i="4"/>
  <c r="E196" i="4"/>
  <c r="D196" i="4"/>
  <c r="F195" i="4"/>
  <c r="E195" i="4"/>
  <c r="D195" i="4"/>
  <c r="F194" i="4"/>
  <c r="E194" i="4"/>
  <c r="D194" i="4"/>
  <c r="F193" i="4"/>
  <c r="E193" i="4"/>
  <c r="D193" i="4"/>
  <c r="F192" i="4"/>
  <c r="E192" i="4"/>
  <c r="D192" i="4"/>
  <c r="F191" i="4"/>
  <c r="E191" i="4"/>
  <c r="D191" i="4"/>
  <c r="F190" i="4"/>
  <c r="E190" i="4"/>
  <c r="D190" i="4"/>
  <c r="F189" i="4"/>
  <c r="E189" i="4"/>
  <c r="D189" i="4"/>
  <c r="F188" i="4"/>
  <c r="E188" i="4"/>
  <c r="D188" i="4"/>
  <c r="F187" i="4"/>
  <c r="E187" i="4"/>
  <c r="D187" i="4"/>
  <c r="F186" i="4"/>
  <c r="E186" i="4"/>
  <c r="D186" i="4"/>
  <c r="F185" i="4"/>
  <c r="E185" i="4"/>
  <c r="D185" i="4"/>
  <c r="F184" i="4"/>
  <c r="E184" i="4"/>
  <c r="D184" i="4"/>
  <c r="F183" i="4"/>
  <c r="E183" i="4"/>
  <c r="D183" i="4"/>
  <c r="F182" i="4"/>
  <c r="E182" i="4"/>
  <c r="D182" i="4"/>
  <c r="F181" i="4"/>
  <c r="E181" i="4"/>
  <c r="D181" i="4"/>
  <c r="F180" i="4"/>
  <c r="E180" i="4"/>
  <c r="D180" i="4"/>
  <c r="F179" i="4"/>
  <c r="E179" i="4"/>
  <c r="D179" i="4"/>
  <c r="F178" i="4"/>
  <c r="E178" i="4"/>
  <c r="D178" i="4"/>
  <c r="F177" i="4"/>
  <c r="E177" i="4"/>
  <c r="D177" i="4"/>
  <c r="F176" i="4"/>
  <c r="E176" i="4"/>
  <c r="D176" i="4"/>
  <c r="F175" i="4"/>
  <c r="E175" i="4"/>
  <c r="D175" i="4"/>
  <c r="F174" i="4"/>
  <c r="E174" i="4"/>
  <c r="D174" i="4"/>
  <c r="F173" i="4"/>
  <c r="E173" i="4"/>
  <c r="D173" i="4"/>
  <c r="F172" i="4"/>
  <c r="E172" i="4"/>
  <c r="D172" i="4"/>
  <c r="F171" i="4"/>
  <c r="E171" i="4"/>
  <c r="D171" i="4"/>
  <c r="F170" i="4"/>
  <c r="E170" i="4"/>
  <c r="D170" i="4"/>
  <c r="F169" i="4"/>
  <c r="E169" i="4"/>
  <c r="D169" i="4"/>
  <c r="F168" i="4"/>
  <c r="E168" i="4"/>
  <c r="D168" i="4"/>
  <c r="F167" i="4"/>
  <c r="E167" i="4"/>
  <c r="D167" i="4"/>
  <c r="F166" i="4"/>
  <c r="E166" i="4"/>
  <c r="D166" i="4"/>
  <c r="F165" i="4"/>
  <c r="E165" i="4"/>
  <c r="D165" i="4"/>
  <c r="F164" i="4"/>
  <c r="E164" i="4"/>
  <c r="D164" i="4"/>
  <c r="F163" i="4"/>
  <c r="E163" i="4"/>
  <c r="D163" i="4"/>
  <c r="F162" i="4"/>
  <c r="E162" i="4"/>
  <c r="D162" i="4"/>
  <c r="F161" i="4"/>
  <c r="E161" i="4"/>
  <c r="D161" i="4"/>
  <c r="F160" i="4"/>
  <c r="E160" i="4"/>
  <c r="D160" i="4"/>
  <c r="F159" i="4"/>
  <c r="E159" i="4"/>
  <c r="D159" i="4"/>
  <c r="F158" i="4"/>
  <c r="E158" i="4"/>
  <c r="D158" i="4"/>
  <c r="F157" i="4"/>
  <c r="E157" i="4"/>
  <c r="D157" i="4"/>
  <c r="F156" i="4"/>
  <c r="E156" i="4"/>
  <c r="D156" i="4"/>
  <c r="F155" i="4"/>
  <c r="E155" i="4"/>
  <c r="D155" i="4"/>
  <c r="F154" i="4"/>
  <c r="E154" i="4"/>
  <c r="D154" i="4"/>
  <c r="F153" i="4"/>
  <c r="E153" i="4"/>
  <c r="D153" i="4"/>
  <c r="F152" i="4"/>
  <c r="E152" i="4"/>
  <c r="D152" i="4"/>
  <c r="F151" i="4"/>
  <c r="E151" i="4"/>
  <c r="D151" i="4"/>
  <c r="F150" i="4"/>
  <c r="E150" i="4"/>
  <c r="D150" i="4"/>
  <c r="F149" i="4"/>
  <c r="E149" i="4"/>
  <c r="D149" i="4"/>
  <c r="F148" i="4"/>
  <c r="E148" i="4"/>
  <c r="D148" i="4"/>
  <c r="F147" i="4"/>
  <c r="E147" i="4"/>
  <c r="D147" i="4"/>
  <c r="F146" i="4"/>
  <c r="E146" i="4"/>
  <c r="D146" i="4"/>
  <c r="F145" i="4"/>
  <c r="E145" i="4"/>
  <c r="D145" i="4"/>
  <c r="F144" i="4"/>
  <c r="E144" i="4"/>
  <c r="D144" i="4"/>
  <c r="F143" i="4"/>
  <c r="E143" i="4"/>
  <c r="D143" i="4"/>
  <c r="F142" i="4"/>
  <c r="E142" i="4"/>
  <c r="D142" i="4"/>
  <c r="F141" i="4"/>
  <c r="E141" i="4"/>
  <c r="D141" i="4"/>
  <c r="F140" i="4"/>
  <c r="E140" i="4"/>
  <c r="D140" i="4"/>
  <c r="F139" i="4"/>
  <c r="E139" i="4"/>
  <c r="D139" i="4"/>
  <c r="F138" i="4"/>
  <c r="E138" i="4"/>
  <c r="D138" i="4"/>
  <c r="F137" i="4"/>
  <c r="E137" i="4"/>
  <c r="D137" i="4"/>
  <c r="F136" i="4"/>
  <c r="E136" i="4"/>
  <c r="D136" i="4"/>
  <c r="F135" i="4"/>
  <c r="E135" i="4"/>
  <c r="D135" i="4"/>
  <c r="F134" i="4"/>
  <c r="E134" i="4"/>
  <c r="D134" i="4"/>
  <c r="F133" i="4"/>
  <c r="E133" i="4"/>
  <c r="D133" i="4"/>
  <c r="F132" i="4"/>
  <c r="E132" i="4"/>
  <c r="D132" i="4"/>
  <c r="F131" i="4"/>
  <c r="E131" i="4"/>
  <c r="D131" i="4"/>
  <c r="F130" i="4"/>
  <c r="E130" i="4"/>
  <c r="D130" i="4"/>
  <c r="F129" i="4"/>
  <c r="E129" i="4"/>
  <c r="D129" i="4"/>
  <c r="F128" i="4"/>
  <c r="E128" i="4"/>
  <c r="D128" i="4"/>
  <c r="F127" i="4"/>
  <c r="E127" i="4"/>
  <c r="D127" i="4"/>
  <c r="F126" i="4"/>
  <c r="E126" i="4"/>
  <c r="D126" i="4"/>
  <c r="F125" i="4"/>
  <c r="E125" i="4"/>
  <c r="D125" i="4"/>
  <c r="F124" i="4"/>
  <c r="E124" i="4"/>
  <c r="D124" i="4"/>
  <c r="F123" i="4"/>
  <c r="E123" i="4"/>
  <c r="D123" i="4"/>
  <c r="F122" i="4"/>
  <c r="E122" i="4"/>
  <c r="D122" i="4"/>
  <c r="F121" i="4"/>
  <c r="E121" i="4"/>
  <c r="D121" i="4"/>
  <c r="F120" i="4"/>
  <c r="E120" i="4"/>
  <c r="D120" i="4"/>
  <c r="F119" i="4"/>
  <c r="E119" i="4"/>
  <c r="D119" i="4"/>
  <c r="F118" i="4"/>
  <c r="E118" i="4"/>
  <c r="D118" i="4"/>
  <c r="F117" i="4"/>
  <c r="E117" i="4"/>
  <c r="D117" i="4"/>
  <c r="F116" i="4"/>
  <c r="E116" i="4"/>
  <c r="D116" i="4"/>
  <c r="F115" i="4"/>
  <c r="E115" i="4"/>
  <c r="D115" i="4"/>
  <c r="F114" i="4"/>
  <c r="E114" i="4"/>
  <c r="D114" i="4"/>
  <c r="F113" i="4"/>
  <c r="E113" i="4"/>
  <c r="D113" i="4"/>
  <c r="F112" i="4"/>
  <c r="E112" i="4"/>
  <c r="D112" i="4"/>
  <c r="F111" i="4"/>
  <c r="E111" i="4"/>
  <c r="D111" i="4"/>
  <c r="F110" i="4"/>
  <c r="E110" i="4"/>
  <c r="D110" i="4"/>
  <c r="F109" i="4"/>
  <c r="E109" i="4"/>
  <c r="D109" i="4"/>
  <c r="F108" i="4"/>
  <c r="E108" i="4"/>
  <c r="D108" i="4"/>
  <c r="F107" i="4"/>
  <c r="E107" i="4"/>
  <c r="D107" i="4"/>
  <c r="F106" i="4"/>
  <c r="E106" i="4"/>
  <c r="D106" i="4"/>
  <c r="F105" i="4"/>
  <c r="E105" i="4"/>
  <c r="D105" i="4"/>
  <c r="F104" i="4"/>
  <c r="E104" i="4"/>
  <c r="D104" i="4"/>
  <c r="F103" i="4"/>
  <c r="E103" i="4"/>
  <c r="D103" i="4"/>
  <c r="F102" i="4"/>
  <c r="E102" i="4"/>
  <c r="D102" i="4"/>
  <c r="F101" i="4"/>
  <c r="E101" i="4"/>
  <c r="D101" i="4"/>
  <c r="F100" i="4"/>
  <c r="E100" i="4"/>
  <c r="D100" i="4"/>
  <c r="F99" i="4"/>
  <c r="E99" i="4"/>
  <c r="D99" i="4"/>
  <c r="F98" i="4"/>
  <c r="E98" i="4"/>
  <c r="D98" i="4"/>
  <c r="F97" i="4"/>
  <c r="E97" i="4"/>
  <c r="D97" i="4"/>
  <c r="F96" i="4"/>
  <c r="E96" i="4"/>
  <c r="D96" i="4"/>
  <c r="F95" i="4"/>
  <c r="E95" i="4"/>
  <c r="D95" i="4"/>
  <c r="F94" i="4"/>
  <c r="E94" i="4"/>
  <c r="D94" i="4"/>
  <c r="F93" i="4"/>
  <c r="E93" i="4"/>
  <c r="D93" i="4"/>
  <c r="F92" i="4"/>
  <c r="E92" i="4"/>
  <c r="D92" i="4"/>
  <c r="F91" i="4"/>
  <c r="E91" i="4"/>
  <c r="D91" i="4"/>
  <c r="F90" i="4"/>
  <c r="E90" i="4"/>
  <c r="D90" i="4"/>
  <c r="F89" i="4"/>
  <c r="E89" i="4"/>
  <c r="D89" i="4"/>
  <c r="F88" i="4"/>
  <c r="E88" i="4"/>
  <c r="D88" i="4"/>
  <c r="F87" i="4"/>
  <c r="E87" i="4"/>
  <c r="D87" i="4"/>
  <c r="F86" i="4"/>
  <c r="E86" i="4"/>
  <c r="D86" i="4"/>
  <c r="F85" i="4"/>
  <c r="E85" i="4"/>
  <c r="D85" i="4"/>
  <c r="F84" i="4"/>
  <c r="E84" i="4"/>
  <c r="D84" i="4"/>
  <c r="F83" i="4"/>
  <c r="E83" i="4"/>
  <c r="D83" i="4"/>
  <c r="F82" i="4"/>
  <c r="E82" i="4"/>
  <c r="D82" i="4"/>
  <c r="F81" i="4"/>
  <c r="E81" i="4"/>
  <c r="D81" i="4"/>
  <c r="F80" i="4"/>
  <c r="E80" i="4"/>
  <c r="D80" i="4"/>
  <c r="F79" i="4"/>
  <c r="E79" i="4"/>
  <c r="D79" i="4"/>
  <c r="F78" i="4"/>
  <c r="E78" i="4"/>
  <c r="D78" i="4"/>
  <c r="F77" i="4"/>
  <c r="E77" i="4"/>
  <c r="D77" i="4"/>
  <c r="F76" i="4"/>
  <c r="E76" i="4"/>
  <c r="D76" i="4"/>
  <c r="F75" i="4"/>
  <c r="E75" i="4"/>
  <c r="D75" i="4"/>
  <c r="F74" i="4"/>
  <c r="E74" i="4"/>
  <c r="D74" i="4"/>
  <c r="F73" i="4"/>
  <c r="E73" i="4"/>
  <c r="D73" i="4"/>
  <c r="F72" i="4"/>
  <c r="E72" i="4"/>
  <c r="D72" i="4"/>
  <c r="F71" i="4"/>
  <c r="E71" i="4"/>
  <c r="D71" i="4"/>
  <c r="F70" i="4"/>
  <c r="E70" i="4"/>
  <c r="D70" i="4"/>
  <c r="F69" i="4"/>
  <c r="E69" i="4"/>
  <c r="D69" i="4"/>
  <c r="F68" i="4"/>
  <c r="E68" i="4"/>
  <c r="D68" i="4"/>
  <c r="F67" i="4"/>
  <c r="E67" i="4"/>
  <c r="D67" i="4"/>
  <c r="F66" i="4"/>
  <c r="E66" i="4"/>
  <c r="D66" i="4"/>
  <c r="F65" i="4"/>
  <c r="E65" i="4"/>
  <c r="D65" i="4"/>
  <c r="F64" i="4"/>
  <c r="E64" i="4"/>
  <c r="D64" i="4"/>
  <c r="F63" i="4"/>
  <c r="E63" i="4"/>
  <c r="D63" i="4"/>
  <c r="F62" i="4"/>
  <c r="E62" i="4"/>
  <c r="D62" i="4"/>
  <c r="F61" i="4"/>
  <c r="E61" i="4"/>
  <c r="D61" i="4"/>
  <c r="F60" i="4"/>
  <c r="E60" i="4"/>
  <c r="D60" i="4"/>
  <c r="F59" i="4"/>
  <c r="E59" i="4"/>
  <c r="D59" i="4"/>
  <c r="F58" i="4"/>
  <c r="E58" i="4"/>
  <c r="D58" i="4"/>
  <c r="F57" i="4"/>
  <c r="E57" i="4"/>
  <c r="D57" i="4"/>
  <c r="F56" i="4"/>
  <c r="E56" i="4"/>
  <c r="D56" i="4"/>
  <c r="F55" i="4"/>
  <c r="E55" i="4"/>
  <c r="D55" i="4"/>
  <c r="F54" i="4"/>
  <c r="E54" i="4"/>
  <c r="D54" i="4"/>
  <c r="F53" i="4"/>
  <c r="E53" i="4"/>
  <c r="D53" i="4"/>
  <c r="F52" i="4"/>
  <c r="E52" i="4"/>
  <c r="D52" i="4"/>
  <c r="F51" i="4"/>
  <c r="E51" i="4"/>
  <c r="D51" i="4"/>
  <c r="F50" i="4"/>
  <c r="E50" i="4"/>
  <c r="D50" i="4"/>
  <c r="F49" i="4"/>
  <c r="E49" i="4"/>
  <c r="D49" i="4"/>
  <c r="F48" i="4"/>
  <c r="E48" i="4"/>
  <c r="D48" i="4"/>
  <c r="F47" i="4"/>
  <c r="E47" i="4"/>
  <c r="D47" i="4"/>
  <c r="F46" i="4"/>
  <c r="E46" i="4"/>
  <c r="D46" i="4"/>
  <c r="F45" i="4"/>
  <c r="E45" i="4"/>
  <c r="D45" i="4"/>
  <c r="F44" i="4"/>
  <c r="E44" i="4"/>
  <c r="D44" i="4"/>
  <c r="F43" i="4"/>
  <c r="E43" i="4"/>
  <c r="D43" i="4"/>
  <c r="F42" i="4"/>
  <c r="E42" i="4"/>
  <c r="D42" i="4"/>
  <c r="F41" i="4"/>
  <c r="E41" i="4"/>
  <c r="D41" i="4"/>
  <c r="F40" i="4"/>
  <c r="E40" i="4"/>
  <c r="D40" i="4"/>
  <c r="F39" i="4"/>
  <c r="E39" i="4"/>
  <c r="D39" i="4"/>
  <c r="F38" i="4"/>
  <c r="E38" i="4"/>
  <c r="D38" i="4"/>
  <c r="F37" i="4"/>
  <c r="E37" i="4"/>
  <c r="D37" i="4"/>
  <c r="F36" i="4"/>
  <c r="E36" i="4"/>
  <c r="D36" i="4"/>
  <c r="F35" i="4"/>
  <c r="E35" i="4"/>
  <c r="D35" i="4"/>
  <c r="F34" i="4"/>
  <c r="E34" i="4"/>
  <c r="D34" i="4"/>
  <c r="F33" i="4"/>
  <c r="E33" i="4"/>
  <c r="D33" i="4"/>
  <c r="F32" i="4"/>
  <c r="E32" i="4"/>
  <c r="D32" i="4"/>
  <c r="F31" i="4"/>
  <c r="E31" i="4"/>
  <c r="D31" i="4"/>
  <c r="F30" i="4"/>
  <c r="E30" i="4"/>
  <c r="D30" i="4"/>
  <c r="F29" i="4"/>
  <c r="E29" i="4"/>
  <c r="D29" i="4"/>
  <c r="F28" i="4"/>
  <c r="E28" i="4"/>
  <c r="D28" i="4"/>
  <c r="F27" i="4"/>
  <c r="E27" i="4"/>
  <c r="D27" i="4"/>
  <c r="F26" i="4"/>
  <c r="E26" i="4"/>
  <c r="D26" i="4"/>
  <c r="F25" i="4"/>
  <c r="E25" i="4"/>
  <c r="D25" i="4"/>
  <c r="F24" i="4"/>
  <c r="E24" i="4"/>
  <c r="D24" i="4"/>
  <c r="F23" i="4"/>
  <c r="E23" i="4"/>
  <c r="D23" i="4"/>
  <c r="F22" i="4"/>
  <c r="E22" i="4"/>
  <c r="D22" i="4"/>
  <c r="F21" i="4"/>
  <c r="E21" i="4"/>
  <c r="D21" i="4"/>
  <c r="F20" i="4"/>
  <c r="E20" i="4"/>
  <c r="D20" i="4"/>
  <c r="F19" i="4"/>
  <c r="E19" i="4"/>
  <c r="D19" i="4"/>
  <c r="F18" i="4"/>
  <c r="E18" i="4"/>
  <c r="D18" i="4"/>
  <c r="F17" i="4"/>
  <c r="E17" i="4"/>
  <c r="D17" i="4"/>
  <c r="F16" i="4"/>
  <c r="E16" i="4"/>
  <c r="D16" i="4"/>
  <c r="F15" i="4"/>
  <c r="E15" i="4"/>
  <c r="D15" i="4"/>
  <c r="F14" i="4"/>
  <c r="E14" i="4"/>
  <c r="D14" i="4"/>
  <c r="F13" i="4"/>
  <c r="E13" i="4"/>
  <c r="D13" i="4"/>
  <c r="F12" i="4"/>
  <c r="E12" i="4"/>
  <c r="D12" i="4"/>
  <c r="F11" i="4"/>
  <c r="E11" i="4"/>
  <c r="D11" i="4"/>
  <c r="F10" i="4"/>
  <c r="E10" i="4"/>
  <c r="D10" i="4"/>
  <c r="F9" i="4"/>
  <c r="E9" i="4"/>
  <c r="D9" i="4"/>
  <c r="F8" i="4"/>
  <c r="E8" i="4"/>
  <c r="D8" i="4"/>
  <c r="F7" i="4"/>
  <c r="E7" i="4"/>
  <c r="D7" i="4"/>
  <c r="F6" i="4"/>
  <c r="E6" i="4"/>
  <c r="D6" i="4"/>
  <c r="F5" i="4"/>
  <c r="E5" i="4"/>
  <c r="D5" i="4"/>
  <c r="F4" i="4"/>
  <c r="E4" i="4"/>
  <c r="D4" i="4"/>
  <c r="F3" i="4"/>
  <c r="E3" i="4"/>
  <c r="D3" i="4"/>
  <c r="F2" i="4"/>
  <c r="E2" i="4"/>
  <c r="D2" i="4"/>
  <c r="D3" i="3"/>
  <c r="D4" i="3"/>
  <c r="D5" i="3"/>
  <c r="D6" i="3"/>
  <c r="D7" i="3"/>
  <c r="D8" i="3"/>
  <c r="D9" i="3"/>
  <c r="D10" i="3"/>
  <c r="D11" i="3"/>
  <c r="D12" i="3"/>
  <c r="D13" i="3"/>
  <c r="D14" i="3"/>
  <c r="D15" i="3"/>
  <c r="D16" i="3"/>
  <c r="D17" i="3"/>
  <c r="D18" i="3"/>
  <c r="D19" i="3"/>
  <c r="D20" i="3"/>
  <c r="D21" i="3"/>
  <c r="D22" i="3"/>
  <c r="D23" i="3"/>
  <c r="D24" i="3"/>
  <c r="D25" i="3"/>
  <c r="D26" i="3"/>
  <c r="D27" i="3"/>
  <c r="D28" i="3"/>
  <c r="D29" i="3"/>
  <c r="D30" i="3"/>
  <c r="D31" i="3"/>
  <c r="D32" i="3"/>
  <c r="D33" i="3"/>
  <c r="D34" i="3"/>
  <c r="D35" i="3"/>
  <c r="D36" i="3"/>
  <c r="D37" i="3"/>
  <c r="D38" i="3"/>
  <c r="D39" i="3"/>
  <c r="D40" i="3"/>
  <c r="D41" i="3"/>
  <c r="D42" i="3"/>
  <c r="D43" i="3"/>
  <c r="D44" i="3"/>
  <c r="D45" i="3"/>
  <c r="D46" i="3"/>
  <c r="D47" i="3"/>
  <c r="D48" i="3"/>
  <c r="D49" i="3"/>
  <c r="D50" i="3"/>
  <c r="D51" i="3"/>
  <c r="D52" i="3"/>
  <c r="D53" i="3"/>
  <c r="D54" i="3"/>
  <c r="D55" i="3"/>
  <c r="D56" i="3"/>
  <c r="D57" i="3"/>
  <c r="D58" i="3"/>
  <c r="D59" i="3"/>
  <c r="D60" i="3"/>
  <c r="D61" i="3"/>
  <c r="D62" i="3"/>
  <c r="D63" i="3"/>
  <c r="D64" i="3"/>
  <c r="D65" i="3"/>
  <c r="D66" i="3"/>
  <c r="D67" i="3"/>
  <c r="D68" i="3"/>
  <c r="D69" i="3"/>
  <c r="D70" i="3"/>
  <c r="D71" i="3"/>
  <c r="D72" i="3"/>
  <c r="D73" i="3"/>
  <c r="D74" i="3"/>
  <c r="D75" i="3"/>
  <c r="D76" i="3"/>
  <c r="D77" i="3"/>
  <c r="D78" i="3"/>
  <c r="D79" i="3"/>
  <c r="D80" i="3"/>
  <c r="D81" i="3"/>
  <c r="D82" i="3"/>
  <c r="D83" i="3"/>
  <c r="D84" i="3"/>
  <c r="D85" i="3"/>
  <c r="D86" i="3"/>
  <c r="D87" i="3"/>
  <c r="D88" i="3"/>
  <c r="D89" i="3"/>
  <c r="D90" i="3"/>
  <c r="D91" i="3"/>
  <c r="D92" i="3"/>
  <c r="D93" i="3"/>
  <c r="D94" i="3"/>
  <c r="D95" i="3"/>
  <c r="D96" i="3"/>
  <c r="D97" i="3"/>
  <c r="D98" i="3"/>
  <c r="D99" i="3"/>
  <c r="D100" i="3"/>
  <c r="D101" i="3"/>
  <c r="D102" i="3"/>
  <c r="D103" i="3"/>
  <c r="D104" i="3"/>
  <c r="D105" i="3"/>
  <c r="D106" i="3"/>
  <c r="D107" i="3"/>
  <c r="D108" i="3"/>
  <c r="D109" i="3"/>
  <c r="D110" i="3"/>
  <c r="D111" i="3"/>
  <c r="D112" i="3"/>
  <c r="D113" i="3"/>
  <c r="D114" i="3"/>
  <c r="D115" i="3"/>
  <c r="D116" i="3"/>
  <c r="D117" i="3"/>
  <c r="D118" i="3"/>
  <c r="D119" i="3"/>
  <c r="D120" i="3"/>
  <c r="D121" i="3"/>
  <c r="D122" i="3"/>
  <c r="D123" i="3"/>
  <c r="D124" i="3"/>
  <c r="D125" i="3"/>
  <c r="D126" i="3"/>
  <c r="D127" i="3"/>
  <c r="D128" i="3"/>
  <c r="D129" i="3"/>
  <c r="D130" i="3"/>
  <c r="D131" i="3"/>
  <c r="D132" i="3"/>
  <c r="D133" i="3"/>
  <c r="D134" i="3"/>
  <c r="D135" i="3"/>
  <c r="D136" i="3"/>
  <c r="D137" i="3"/>
  <c r="D138" i="3"/>
  <c r="D139" i="3"/>
  <c r="D140" i="3"/>
  <c r="D141" i="3"/>
  <c r="D142" i="3"/>
  <c r="D143" i="3"/>
  <c r="D144" i="3"/>
  <c r="D145" i="3"/>
  <c r="D146" i="3"/>
  <c r="D147" i="3"/>
  <c r="D148" i="3"/>
  <c r="D149" i="3"/>
  <c r="D150" i="3"/>
  <c r="D151" i="3"/>
  <c r="D152" i="3"/>
  <c r="D153" i="3"/>
  <c r="D154" i="3"/>
  <c r="D155" i="3"/>
  <c r="D156" i="3"/>
  <c r="D157" i="3"/>
  <c r="D158" i="3"/>
  <c r="D159" i="3"/>
  <c r="D160" i="3"/>
  <c r="D161" i="3"/>
  <c r="D162" i="3"/>
  <c r="D163" i="3"/>
  <c r="D164" i="3"/>
  <c r="D165" i="3"/>
  <c r="D166" i="3"/>
  <c r="D167" i="3"/>
  <c r="D168" i="3"/>
  <c r="D169" i="3"/>
  <c r="D170" i="3"/>
  <c r="D171" i="3"/>
  <c r="D172" i="3"/>
  <c r="D173" i="3"/>
  <c r="D174" i="3"/>
  <c r="D175" i="3"/>
  <c r="D176" i="3"/>
  <c r="D177" i="3"/>
  <c r="D178" i="3"/>
  <c r="D179" i="3"/>
  <c r="D180" i="3"/>
  <c r="D181" i="3"/>
  <c r="D182" i="3"/>
  <c r="D183" i="3"/>
  <c r="D184" i="3"/>
  <c r="D185" i="3"/>
  <c r="D186" i="3"/>
  <c r="D187" i="3"/>
  <c r="D188" i="3"/>
  <c r="D189" i="3"/>
  <c r="D190" i="3"/>
  <c r="D191" i="3"/>
  <c r="D192" i="3"/>
  <c r="D193" i="3"/>
  <c r="D194" i="3"/>
  <c r="D195" i="3"/>
  <c r="D196" i="3"/>
  <c r="D197" i="3"/>
  <c r="D198" i="3"/>
  <c r="D199" i="3"/>
  <c r="D200" i="3"/>
  <c r="D201" i="3"/>
  <c r="D202" i="3"/>
  <c r="D203" i="3"/>
  <c r="D204" i="3"/>
  <c r="D205" i="3"/>
  <c r="D206" i="3"/>
  <c r="D207" i="3"/>
  <c r="D208" i="3"/>
  <c r="D209" i="3"/>
  <c r="D210" i="3"/>
  <c r="D211" i="3"/>
  <c r="D212" i="3"/>
  <c r="D213" i="3"/>
  <c r="D214" i="3"/>
  <c r="D215" i="3"/>
  <c r="D216" i="3"/>
  <c r="D217" i="3"/>
  <c r="D218" i="3"/>
  <c r="D219" i="3"/>
  <c r="D220" i="3"/>
  <c r="D221" i="3"/>
  <c r="D222" i="3"/>
  <c r="D223" i="3"/>
  <c r="D224" i="3"/>
  <c r="D2" i="3"/>
  <c r="E3" i="3"/>
  <c r="E4" i="3"/>
  <c r="E5" i="3"/>
  <c r="E6" i="3"/>
  <c r="E7" i="3"/>
  <c r="E8" i="3"/>
  <c r="E9" i="3"/>
  <c r="E10" i="3"/>
  <c r="E11" i="3"/>
  <c r="E12" i="3"/>
  <c r="E13" i="3"/>
  <c r="E14" i="3"/>
  <c r="E15" i="3"/>
  <c r="E16" i="3"/>
  <c r="E17" i="3"/>
  <c r="E18" i="3"/>
  <c r="E19" i="3"/>
  <c r="E20" i="3"/>
  <c r="E21" i="3"/>
  <c r="E22" i="3"/>
  <c r="E23" i="3"/>
  <c r="E24" i="3"/>
  <c r="E25" i="3"/>
  <c r="E26" i="3"/>
  <c r="E27" i="3"/>
  <c r="E28" i="3"/>
  <c r="E29" i="3"/>
  <c r="E30" i="3"/>
  <c r="E31" i="3"/>
  <c r="E32" i="3"/>
  <c r="E33" i="3"/>
  <c r="E34" i="3"/>
  <c r="E35" i="3"/>
  <c r="E36" i="3"/>
  <c r="E37" i="3"/>
  <c r="E38" i="3"/>
  <c r="E39" i="3"/>
  <c r="E40" i="3"/>
  <c r="E41" i="3"/>
  <c r="E42" i="3"/>
  <c r="E43" i="3"/>
  <c r="E44" i="3"/>
  <c r="E45" i="3"/>
  <c r="E46" i="3"/>
  <c r="E47" i="3"/>
  <c r="E48" i="3"/>
  <c r="E49" i="3"/>
  <c r="E50" i="3"/>
  <c r="E51" i="3"/>
  <c r="E52" i="3"/>
  <c r="E53" i="3"/>
  <c r="E54" i="3"/>
  <c r="E55" i="3"/>
  <c r="E56" i="3"/>
  <c r="E57" i="3"/>
  <c r="E58" i="3"/>
  <c r="E59" i="3"/>
  <c r="E60" i="3"/>
  <c r="E61" i="3"/>
  <c r="E62" i="3"/>
  <c r="E63" i="3"/>
  <c r="E64" i="3"/>
  <c r="E65" i="3"/>
  <c r="E66" i="3"/>
  <c r="E67" i="3"/>
  <c r="E68" i="3"/>
  <c r="E69" i="3"/>
  <c r="E70" i="3"/>
  <c r="E71" i="3"/>
  <c r="E72" i="3"/>
  <c r="E73" i="3"/>
  <c r="E74" i="3"/>
  <c r="E75" i="3"/>
  <c r="E76" i="3"/>
  <c r="E77" i="3"/>
  <c r="E78" i="3"/>
  <c r="E79" i="3"/>
  <c r="E80" i="3"/>
  <c r="E81" i="3"/>
  <c r="E82" i="3"/>
  <c r="E83" i="3"/>
  <c r="E84" i="3"/>
  <c r="E85" i="3"/>
  <c r="E86" i="3"/>
  <c r="E87" i="3"/>
  <c r="E88" i="3"/>
  <c r="E89" i="3"/>
  <c r="E90" i="3"/>
  <c r="E91" i="3"/>
  <c r="E92" i="3"/>
  <c r="E93" i="3"/>
  <c r="E94" i="3"/>
  <c r="E95" i="3"/>
  <c r="E96" i="3"/>
  <c r="E97" i="3"/>
  <c r="E98" i="3"/>
  <c r="E99" i="3"/>
  <c r="E100" i="3"/>
  <c r="E101" i="3"/>
  <c r="E102" i="3"/>
  <c r="E103" i="3"/>
  <c r="E104" i="3"/>
  <c r="E105" i="3"/>
  <c r="E106" i="3"/>
  <c r="E107" i="3"/>
  <c r="E108" i="3"/>
  <c r="E109" i="3"/>
  <c r="E110" i="3"/>
  <c r="E111" i="3"/>
  <c r="E112" i="3"/>
  <c r="E113" i="3"/>
  <c r="E114" i="3"/>
  <c r="E115" i="3"/>
  <c r="E116" i="3"/>
  <c r="E117" i="3"/>
  <c r="E118" i="3"/>
  <c r="E119" i="3"/>
  <c r="E120" i="3"/>
  <c r="E121" i="3"/>
  <c r="E122" i="3"/>
  <c r="E123" i="3"/>
  <c r="E124" i="3"/>
  <c r="E125" i="3"/>
  <c r="E126" i="3"/>
  <c r="E127" i="3"/>
  <c r="E128" i="3"/>
  <c r="E129" i="3"/>
  <c r="E130" i="3"/>
  <c r="E131" i="3"/>
  <c r="E132" i="3"/>
  <c r="E133" i="3"/>
  <c r="E134" i="3"/>
  <c r="E135" i="3"/>
  <c r="E136" i="3"/>
  <c r="E137" i="3"/>
  <c r="E138" i="3"/>
  <c r="E139" i="3"/>
  <c r="E140" i="3"/>
  <c r="E141" i="3"/>
  <c r="E142" i="3"/>
  <c r="E143" i="3"/>
  <c r="E144" i="3"/>
  <c r="E145" i="3"/>
  <c r="E146" i="3"/>
  <c r="E147" i="3"/>
  <c r="E148" i="3"/>
  <c r="E149" i="3"/>
  <c r="E150" i="3"/>
  <c r="E151" i="3"/>
  <c r="E152" i="3"/>
  <c r="E153" i="3"/>
  <c r="E154" i="3"/>
  <c r="E155" i="3"/>
  <c r="E156" i="3"/>
  <c r="E157" i="3"/>
  <c r="E158" i="3"/>
  <c r="E159" i="3"/>
  <c r="E160" i="3"/>
  <c r="E161" i="3"/>
  <c r="E162" i="3"/>
  <c r="E163" i="3"/>
  <c r="E164" i="3"/>
  <c r="E165" i="3"/>
  <c r="E166" i="3"/>
  <c r="E167" i="3"/>
  <c r="E168" i="3"/>
  <c r="E169" i="3"/>
  <c r="E170" i="3"/>
  <c r="E171" i="3"/>
  <c r="E172" i="3"/>
  <c r="E173" i="3"/>
  <c r="E174" i="3"/>
  <c r="E175" i="3"/>
  <c r="E176" i="3"/>
  <c r="E177" i="3"/>
  <c r="E178" i="3"/>
  <c r="E179" i="3"/>
  <c r="E180" i="3"/>
  <c r="E181" i="3"/>
  <c r="E182" i="3"/>
  <c r="E183" i="3"/>
  <c r="E184" i="3"/>
  <c r="E185" i="3"/>
  <c r="E186" i="3"/>
  <c r="E187" i="3"/>
  <c r="E188" i="3"/>
  <c r="E189" i="3"/>
  <c r="E190" i="3"/>
  <c r="E191" i="3"/>
  <c r="E192" i="3"/>
  <c r="E193" i="3"/>
  <c r="E194" i="3"/>
  <c r="E195" i="3"/>
  <c r="E196" i="3"/>
  <c r="E197" i="3"/>
  <c r="E198" i="3"/>
  <c r="E199" i="3"/>
  <c r="E200" i="3"/>
  <c r="E201" i="3"/>
  <c r="E202" i="3"/>
  <c r="E203" i="3"/>
  <c r="E204" i="3"/>
  <c r="E205" i="3"/>
  <c r="E206" i="3"/>
  <c r="E207" i="3"/>
  <c r="E208" i="3"/>
  <c r="E209" i="3"/>
  <c r="E210" i="3"/>
  <c r="E211" i="3"/>
  <c r="E212" i="3"/>
  <c r="E213" i="3"/>
  <c r="E214" i="3"/>
  <c r="E215" i="3"/>
  <c r="E216" i="3"/>
  <c r="E217" i="3"/>
  <c r="E218" i="3"/>
  <c r="E219" i="3"/>
  <c r="E220" i="3"/>
  <c r="E221" i="3"/>
  <c r="E222" i="3"/>
  <c r="E223" i="3"/>
  <c r="E224" i="3"/>
  <c r="E2" i="3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" i="1"/>
</calcChain>
</file>

<file path=xl/sharedStrings.xml><?xml version="1.0" encoding="utf-8"?>
<sst xmlns="http://schemas.openxmlformats.org/spreadsheetml/2006/main" count="3605" uniqueCount="1175">
  <si>
    <t>Experiment</t>
  </si>
  <si>
    <t>geneID</t>
  </si>
  <si>
    <t>baseMean</t>
  </si>
  <si>
    <t>log2FoldChange</t>
  </si>
  <si>
    <t>lfcSE</t>
  </si>
  <si>
    <t>pvalue</t>
  </si>
  <si>
    <t>padj</t>
  </si>
  <si>
    <t>Acute</t>
  </si>
  <si>
    <t>utg2338.equina_smart_890756.mrna2</t>
  </si>
  <si>
    <t>A0A6P8H0Z5</t>
  </si>
  <si>
    <t>evm.utg5414.35</t>
  </si>
  <si>
    <t>evm.utg1140.9</t>
  </si>
  <si>
    <t>A0A6P8H0R6</t>
  </si>
  <si>
    <t>evm.utg1925.59</t>
  </si>
  <si>
    <t>A0A6P8IVD5</t>
  </si>
  <si>
    <t>evm.utg7149.21</t>
  </si>
  <si>
    <t>A0A6P8IUL1</t>
  </si>
  <si>
    <t>evm.utg3790.21</t>
  </si>
  <si>
    <t>A0A6P8I5H0</t>
  </si>
  <si>
    <t>evm.utg16690.14</t>
  </si>
  <si>
    <t>A0A913WYE0</t>
  </si>
  <si>
    <t>evm.utg203.148</t>
  </si>
  <si>
    <t>A0A1D7XF02</t>
  </si>
  <si>
    <t>evm.utg868.112</t>
  </si>
  <si>
    <t>A0A6P8I4D9</t>
  </si>
  <si>
    <t>evm.utg27.73</t>
  </si>
  <si>
    <t>A0A6P8I334</t>
  </si>
  <si>
    <t>evm.utg4082.39</t>
  </si>
  <si>
    <t>A0A6P8HD73</t>
  </si>
  <si>
    <t>evm.utg55.33</t>
  </si>
  <si>
    <t>A0A6P8HC30</t>
  </si>
  <si>
    <t>evm.utg788.56</t>
  </si>
  <si>
    <t>A0A6P8IWV2</t>
  </si>
  <si>
    <t>evm.utg888.2</t>
  </si>
  <si>
    <t>A0A6P8I8R1</t>
  </si>
  <si>
    <t>evm.utg26219.16</t>
  </si>
  <si>
    <t>A0A6P8I117</t>
  </si>
  <si>
    <t>evm.utg5074.9</t>
  </si>
  <si>
    <t>A0A913YAD9</t>
  </si>
  <si>
    <t>evm.utg1345.50</t>
  </si>
  <si>
    <t>A0A6P8HC40</t>
  </si>
  <si>
    <t>evm.utg26517.1</t>
  </si>
  <si>
    <t>A0A6P8J7F4</t>
  </si>
  <si>
    <t>evm.utg5996.10</t>
  </si>
  <si>
    <t>evm.utg479.104</t>
  </si>
  <si>
    <t>A0A6P8HDS0</t>
  </si>
  <si>
    <t>evm.utg150.65</t>
  </si>
  <si>
    <t>A0A6P8IQ84</t>
  </si>
  <si>
    <t>evm.utg5074.11</t>
  </si>
  <si>
    <t>A0A6P8I0R9</t>
  </si>
  <si>
    <t>evm.utg736.13</t>
  </si>
  <si>
    <t>A0A6P8H9S7</t>
  </si>
  <si>
    <t>evm.utg788.54</t>
  </si>
  <si>
    <t>A0A6P8H2V8</t>
  </si>
  <si>
    <t>utg4155.evm.utg4695.64.mrna2</t>
  </si>
  <si>
    <t>A0A6P8IQX8</t>
  </si>
  <si>
    <t>evm.utg3790.36</t>
  </si>
  <si>
    <t>A0A6P8IL23</t>
  </si>
  <si>
    <t>evm.utg788.55</t>
  </si>
  <si>
    <t>A0A6P8IUB5</t>
  </si>
  <si>
    <t>evm.utg5074.12</t>
  </si>
  <si>
    <t>A0A6P8HCY0</t>
  </si>
  <si>
    <t>evm.utg1919.69</t>
  </si>
  <si>
    <t>A0A6P8I6K0</t>
  </si>
  <si>
    <t>evm.utg686.60</t>
  </si>
  <si>
    <t>A0A6P8IL53</t>
  </si>
  <si>
    <t>evm.utg8792.40</t>
  </si>
  <si>
    <t>A0A6P8HJ94</t>
  </si>
  <si>
    <t>evm.utg344.68</t>
  </si>
  <si>
    <t>A0A6P8I4J0</t>
  </si>
  <si>
    <t>evm.utg3174.51</t>
  </si>
  <si>
    <t>A0A6P8HNZ8</t>
  </si>
  <si>
    <t>evm.utg418.5</t>
  </si>
  <si>
    <t>A0A6P8I4E6</t>
  </si>
  <si>
    <t>evm.utg3470.19</t>
  </si>
  <si>
    <t>A0A6P8I8T2</t>
  </si>
  <si>
    <t>evm.utg194.25</t>
  </si>
  <si>
    <t>A0A6P8IEI8</t>
  </si>
  <si>
    <t>evm.utg3522.54</t>
  </si>
  <si>
    <t>A0A6P8J3G8</t>
  </si>
  <si>
    <t>evm.utg3019.11</t>
  </si>
  <si>
    <t>A0A6P8IHN5</t>
  </si>
  <si>
    <t>utg1272.equina_smart_16100.mrna1</t>
  </si>
  <si>
    <t>NA</t>
  </si>
  <si>
    <t>evm.utg777.43</t>
  </si>
  <si>
    <t>A0A6P8H4Z0</t>
  </si>
  <si>
    <t>evm.utg203.119</t>
  </si>
  <si>
    <t>A0A7M5XBH0</t>
  </si>
  <si>
    <t>evm.utg788.53</t>
  </si>
  <si>
    <t>A0A6P8HBR5</t>
  </si>
  <si>
    <t>evm.utg5885.87</t>
  </si>
  <si>
    <t>A0A6P8H1M9</t>
  </si>
  <si>
    <t>evm.utg4155.2</t>
  </si>
  <si>
    <t>A0A6P8H1X3</t>
  </si>
  <si>
    <t>evm.utg1420.4</t>
  </si>
  <si>
    <t>A0A6S7IFQ3</t>
  </si>
  <si>
    <t>evm.utg2487.55</t>
  </si>
  <si>
    <t>A7SCB3</t>
  </si>
  <si>
    <t>evm.utg540.62</t>
  </si>
  <si>
    <t>A0A6P8H6B2</t>
  </si>
  <si>
    <t>evm.utg27.125</t>
  </si>
  <si>
    <t>A0A6P8J467</t>
  </si>
  <si>
    <t>evm.utg1525.20</t>
  </si>
  <si>
    <t>A0A6P8IVP7</t>
  </si>
  <si>
    <t>evm.utg389.107</t>
  </si>
  <si>
    <t>A0A6P8IAM4</t>
  </si>
  <si>
    <t>evm.utg7.74</t>
  </si>
  <si>
    <t>A0A6P8I873</t>
  </si>
  <si>
    <t>evm.utg3470.16</t>
  </si>
  <si>
    <t>evm.utg1005.68</t>
  </si>
  <si>
    <t>A0A6P8I1K4</t>
  </si>
  <si>
    <t>evm.utg1049.13</t>
  </si>
  <si>
    <t>A0A6P8IMV9</t>
  </si>
  <si>
    <t>evm.utg788.82</t>
  </si>
  <si>
    <t>A0A6P8IU16</t>
  </si>
  <si>
    <t>evm.utg1575.18</t>
  </si>
  <si>
    <t>A0A6P8I5Y6</t>
  </si>
  <si>
    <t>evm.utg370.56</t>
  </si>
  <si>
    <t>A0A6P8I1X6</t>
  </si>
  <si>
    <t>evm.utg324.183</t>
  </si>
  <si>
    <t>A0A6P8IUU4</t>
  </si>
  <si>
    <t>evm.utg1683.40</t>
  </si>
  <si>
    <t>A0A6P8GX01</t>
  </si>
  <si>
    <t>evm.utg992.42</t>
  </si>
  <si>
    <t>evm.utg5074.13</t>
  </si>
  <si>
    <t>evm.utg5074.17</t>
  </si>
  <si>
    <t>A0A6P8HDW7</t>
  </si>
  <si>
    <t>evm.utg3019.49</t>
  </si>
  <si>
    <t>evm.utg7066.24</t>
  </si>
  <si>
    <t>evm.utg181.10</t>
  </si>
  <si>
    <t>evm.utg280.44</t>
  </si>
  <si>
    <t>A0A6P8IIM2</t>
  </si>
  <si>
    <t>evm.utg203.93</t>
  </si>
  <si>
    <t>A0A6P8IDG2</t>
  </si>
  <si>
    <t>evm.utg23901.3</t>
  </si>
  <si>
    <t>A0A7M5X6D2</t>
  </si>
  <si>
    <t>utg77.equina_smart_1078796.mrna1</t>
  </si>
  <si>
    <t>evm.utg170.24</t>
  </si>
  <si>
    <t>A0A6P8I3D5</t>
  </si>
  <si>
    <t>evm.utg4922.1</t>
  </si>
  <si>
    <t>A0A6P8HZF8</t>
  </si>
  <si>
    <t>evm.utg3409.15</t>
  </si>
  <si>
    <t>A0A6P8IK88</t>
  </si>
  <si>
    <t>evm.utg3722.21</t>
  </si>
  <si>
    <t>A0A6P8H9W0</t>
  </si>
  <si>
    <t>evm.utg1239.25</t>
  </si>
  <si>
    <t>A0A6P8I9L1</t>
  </si>
  <si>
    <t>evm.utg293.6</t>
  </si>
  <si>
    <t>A0A6P8I6R9</t>
  </si>
  <si>
    <t>evm.utg6432.13.14</t>
  </si>
  <si>
    <t>A0A6P8I4Q3</t>
  </si>
  <si>
    <t>evm.utg6459.35</t>
  </si>
  <si>
    <t>A0A6P8H7G6</t>
  </si>
  <si>
    <t>evm.utg6875.9</t>
  </si>
  <si>
    <t>A0A6P8ISZ2</t>
  </si>
  <si>
    <t>evm.utg78.74</t>
  </si>
  <si>
    <t>A0A6P8J4C4</t>
  </si>
  <si>
    <t>evm.utg1648.11.10</t>
  </si>
  <si>
    <t>A0A6P8J5J4</t>
  </si>
  <si>
    <t>evm.utg420.20</t>
  </si>
  <si>
    <t>A0A6P8I2U1</t>
  </si>
  <si>
    <t>evm.utg170.23</t>
  </si>
  <si>
    <t>evm.utg15586.1</t>
  </si>
  <si>
    <t>A0A6P8HDS9</t>
  </si>
  <si>
    <t>evm.utg4607.34</t>
  </si>
  <si>
    <t>A0A6P8HFP2</t>
  </si>
  <si>
    <t>evm.utg8792.67</t>
  </si>
  <si>
    <t>A0A6P8I750</t>
  </si>
  <si>
    <t>evm.utg234.38</t>
  </si>
  <si>
    <t>A0A6P8HVN2</t>
  </si>
  <si>
    <t>evm.utg1127.40</t>
  </si>
  <si>
    <t>A0A6P8HJU3</t>
  </si>
  <si>
    <t>evm.utg567.16</t>
  </si>
  <si>
    <t>A0A6P8H1G5</t>
  </si>
  <si>
    <t>evm.utg26697.9</t>
  </si>
  <si>
    <t>A0A6P8H657</t>
  </si>
  <si>
    <t>evm.utg12476.1</t>
  </si>
  <si>
    <t>A0A6P8HPX7</t>
  </si>
  <si>
    <t>evm.utg3499.5</t>
  </si>
  <si>
    <t>A0A6P8I911</t>
  </si>
  <si>
    <t>evm.utg78.54</t>
  </si>
  <si>
    <t>A0A6P8HTM5</t>
  </si>
  <si>
    <t>evm.utg104.63</t>
  </si>
  <si>
    <t>A0A6P8IVL1</t>
  </si>
  <si>
    <t>evm.utg245.77</t>
  </si>
  <si>
    <t>evm.utg15164.14</t>
  </si>
  <si>
    <t>A0A6P8HEZ5</t>
  </si>
  <si>
    <t>evm.utg1112.2</t>
  </si>
  <si>
    <t>A0A6P8ITH1</t>
  </si>
  <si>
    <t>evm.utg3753.61</t>
  </si>
  <si>
    <t>A0A6P8JCH0</t>
  </si>
  <si>
    <t>evm.utg1663.34</t>
  </si>
  <si>
    <t>A0A6P8IJZ6</t>
  </si>
  <si>
    <t>evm.utg801.104</t>
  </si>
  <si>
    <t>A0A6P8IVM9</t>
  </si>
  <si>
    <t>evm.utg97204.12</t>
  </si>
  <si>
    <t>A0A6P8J8B0</t>
  </si>
  <si>
    <t>evm.utg411.84</t>
  </si>
  <si>
    <t>A0A6P8HAX4</t>
  </si>
  <si>
    <t>evm.utg1575.19</t>
  </si>
  <si>
    <t>A0A6P8I5X6</t>
  </si>
  <si>
    <t>evm.utg1684.11</t>
  </si>
  <si>
    <t>A0A6P8IZC3</t>
  </si>
  <si>
    <t>evm.utg3365.7</t>
  </si>
  <si>
    <t>A0A6P8J7N7</t>
  </si>
  <si>
    <t>evm.utg25862.7</t>
  </si>
  <si>
    <t>A0A6P8J1M8</t>
  </si>
  <si>
    <t>utg13368.evm.utg6875.9.mrna5</t>
  </si>
  <si>
    <t>evm.utg1278.7</t>
  </si>
  <si>
    <t>A0A6P8H957</t>
  </si>
  <si>
    <t>utg10114.evm.utg6875.9.mrna2</t>
  </si>
  <si>
    <t>evm.utg13.51</t>
  </si>
  <si>
    <t>A0A6P8HSE0</t>
  </si>
  <si>
    <t>evm.utg2801.36</t>
  </si>
  <si>
    <t>A0A6P8HT45</t>
  </si>
  <si>
    <t>evm.utg4455.19</t>
  </si>
  <si>
    <t>A0A6P8HWQ3</t>
  </si>
  <si>
    <t>evm.utg505.78</t>
  </si>
  <si>
    <t>evm.utg6117.8</t>
  </si>
  <si>
    <t>A0A6P8HBJ4</t>
  </si>
  <si>
    <t>utg55.equina_smart_376502.mrna1</t>
  </si>
  <si>
    <t>A0A6P8HBX8</t>
  </si>
  <si>
    <t>utg1345.equina_smart_814569.mrna1</t>
  </si>
  <si>
    <t>A0A6P8J6W2</t>
  </si>
  <si>
    <t>evm.utg567.14</t>
  </si>
  <si>
    <t>A0A6P8HBS0</t>
  </si>
  <si>
    <t>evm.utg116.310</t>
  </si>
  <si>
    <t>A0A6P8I4R9</t>
  </si>
  <si>
    <t>evm.utg1345.2</t>
  </si>
  <si>
    <t>evm.utg338.79</t>
  </si>
  <si>
    <t>A0A6P8J2H6</t>
  </si>
  <si>
    <t>evm.utg441.10</t>
  </si>
  <si>
    <t>A0A6P8HLZ0</t>
  </si>
  <si>
    <t>evm.utg1234.23</t>
  </si>
  <si>
    <t>A0A6P8IWD7</t>
  </si>
  <si>
    <t>evm.utg1140.8</t>
  </si>
  <si>
    <t>A7SLA3</t>
  </si>
  <si>
    <t>evm.utg1575.17</t>
  </si>
  <si>
    <t>A0A6P8I5Y1</t>
  </si>
  <si>
    <t>evm.utg55.197</t>
  </si>
  <si>
    <t>A0A6P8HNN6</t>
  </si>
  <si>
    <t>evm.utg417.48</t>
  </si>
  <si>
    <t>A0A6P8HTJ6</t>
  </si>
  <si>
    <t>evm.utg6078.62</t>
  </si>
  <si>
    <t>A0A6P8IKA8</t>
  </si>
  <si>
    <t>evm.utg34.9</t>
  </si>
  <si>
    <t>A0A6P8ITT3</t>
  </si>
  <si>
    <t>evm.utg540.63</t>
  </si>
  <si>
    <t>evm.utg415.3</t>
  </si>
  <si>
    <t>A0A6P8I5W5</t>
  </si>
  <si>
    <t>evm.utg1897.43</t>
  </si>
  <si>
    <t>A0A6P8J3Z7</t>
  </si>
  <si>
    <t>evm.utg1931.94</t>
  </si>
  <si>
    <t>A0A6P8H8R1</t>
  </si>
  <si>
    <t>evm.utg1463.13</t>
  </si>
  <si>
    <t>A0A6P8INV5</t>
  </si>
  <si>
    <t>evm.utg597.162</t>
  </si>
  <si>
    <t>A0A6P8HSZ4</t>
  </si>
  <si>
    <t>evm.utg7289.25</t>
  </si>
  <si>
    <t>evm.utg684.2</t>
  </si>
  <si>
    <t>A0A6P8IDG1</t>
  </si>
  <si>
    <t>evm.utg116.21</t>
  </si>
  <si>
    <t>A0A6P8HPQ7</t>
  </si>
  <si>
    <t>evm.utg77.92</t>
  </si>
  <si>
    <t>A0A6P8HMF2</t>
  </si>
  <si>
    <t>utg7977.equina_smart_1669401.mrna1</t>
  </si>
  <si>
    <t>evm.utg750.15</t>
  </si>
  <si>
    <t>A0A913YAB4</t>
  </si>
  <si>
    <t>evm.utg1575.16</t>
  </si>
  <si>
    <t>A0A6P8I6N5</t>
  </si>
  <si>
    <t>evm.utg14287.30</t>
  </si>
  <si>
    <t>evm.utg1302.6</t>
  </si>
  <si>
    <t>A0A6P8HNF5</t>
  </si>
  <si>
    <t>evm.utg858.27</t>
  </si>
  <si>
    <t>A0A6P8I8F8</t>
  </si>
  <si>
    <t>evm.utg73.35</t>
  </si>
  <si>
    <t>A0A6P8ITZ2</t>
  </si>
  <si>
    <t>evm.utg162.13</t>
  </si>
  <si>
    <t>A0A6P8HPE0</t>
  </si>
  <si>
    <t>utg234.equina_smart_1444942.mrna4</t>
  </si>
  <si>
    <t>A0A0S1M168</t>
  </si>
  <si>
    <t>evm.utg78.53</t>
  </si>
  <si>
    <t>evm.utg5885.45</t>
  </si>
  <si>
    <t>A0A6P8HSX7</t>
  </si>
  <si>
    <t>evm.utg1581.4</t>
  </si>
  <si>
    <t>Q9GPI6</t>
  </si>
  <si>
    <t>evm.utg2674.34</t>
  </si>
  <si>
    <t>A0A6P8JFJ6</t>
  </si>
  <si>
    <t>evm.utg293.50</t>
  </si>
  <si>
    <t>A0A6P8I943</t>
  </si>
  <si>
    <t>evm.utg47.21</t>
  </si>
  <si>
    <t>A0A6P8HIA3</t>
  </si>
  <si>
    <t>evm.utg27.127</t>
  </si>
  <si>
    <t>A0A6P8JAN4</t>
  </si>
  <si>
    <t>evm.utg234.132</t>
  </si>
  <si>
    <t>A7RTS7</t>
  </si>
  <si>
    <t>evm.utg1555.33</t>
  </si>
  <si>
    <t>A0A6P8IKG2</t>
  </si>
  <si>
    <t>evm.utg1721.53</t>
  </si>
  <si>
    <t>A0A6P8HDK5</t>
  </si>
  <si>
    <t>evm.utg3878.26</t>
  </si>
  <si>
    <t>A0A6P8IB65</t>
  </si>
  <si>
    <t>evm.utg1925.10</t>
  </si>
  <si>
    <t>A0A7D9JL00</t>
  </si>
  <si>
    <t>evm.utg54.45</t>
  </si>
  <si>
    <t>A0A6P8HUM7</t>
  </si>
  <si>
    <t>evm.utg4709.1</t>
  </si>
  <si>
    <t>utg418.evm.utg6875.9.mrna3</t>
  </si>
  <si>
    <t>evm.utg348.3</t>
  </si>
  <si>
    <t>A0A6P8IZV8</t>
  </si>
  <si>
    <t>evm.utg262.38</t>
  </si>
  <si>
    <t>A0A6P8HGR9</t>
  </si>
  <si>
    <t>evm.utg44408.3</t>
  </si>
  <si>
    <t>A0A6P8ISG8</t>
  </si>
  <si>
    <t>evm.utg8851.71</t>
  </si>
  <si>
    <t>A0A913X302</t>
  </si>
  <si>
    <t>evm.utg512.20</t>
  </si>
  <si>
    <t>A0A6P8H3W9</t>
  </si>
  <si>
    <t>evm.utg203.94</t>
  </si>
  <si>
    <t>A0A6P8IAL6</t>
  </si>
  <si>
    <t>evm.utg56.43</t>
  </si>
  <si>
    <t>A0A6P8HBM0</t>
  </si>
  <si>
    <t>evm.utg7127.23</t>
  </si>
  <si>
    <t>evm.utg5815.2</t>
  </si>
  <si>
    <t>A0A6P8I1H4</t>
  </si>
  <si>
    <t>evm.utg2108.27</t>
  </si>
  <si>
    <t>A0A6P8HKR7</t>
  </si>
  <si>
    <t>evm.utg4695.64</t>
  </si>
  <si>
    <t>evm.utg1972.20</t>
  </si>
  <si>
    <t>A0A6P8J0A5</t>
  </si>
  <si>
    <t>evm.utg729.116</t>
  </si>
  <si>
    <t>A0A6P8HN50</t>
  </si>
  <si>
    <t>evm.utg262.58</t>
  </si>
  <si>
    <t>A0A6P8HCT9</t>
  </si>
  <si>
    <t>evm.utg470.31</t>
  </si>
  <si>
    <t>A0A6P8IUY0</t>
  </si>
  <si>
    <t>evm.utg47.12</t>
  </si>
  <si>
    <t>A0A6P8HB42</t>
  </si>
  <si>
    <t>evm.utg1138.19</t>
  </si>
  <si>
    <t>A0A6P8I010</t>
  </si>
  <si>
    <t>evm.utg512.60</t>
  </si>
  <si>
    <t>A0A6P8H9W4</t>
  </si>
  <si>
    <t>evm.utg2108.34</t>
  </si>
  <si>
    <t>A0A6P8HDV3</t>
  </si>
  <si>
    <t>evm.utg3799.20</t>
  </si>
  <si>
    <t>evm.utg73.95</t>
  </si>
  <si>
    <t>A0A6P8HZ05</t>
  </si>
  <si>
    <t>evm.utg2216.44</t>
  </si>
  <si>
    <t>A0A913XEX9</t>
  </si>
  <si>
    <t>evm.utg112.47</t>
  </si>
  <si>
    <t>A0A3M6UYN4</t>
  </si>
  <si>
    <t>evm.utg890.35</t>
  </si>
  <si>
    <t>A0A6P8I5K6</t>
  </si>
  <si>
    <t>evm.utg514.1</t>
  </si>
  <si>
    <t>evm.utg418.25</t>
  </si>
  <si>
    <t>A0A6P8J9H6</t>
  </si>
  <si>
    <t>evm.utg30988.9</t>
  </si>
  <si>
    <t>A0A6P8H108</t>
  </si>
  <si>
    <t>evm.utg92.78</t>
  </si>
  <si>
    <t>A0A6P8HWY9</t>
  </si>
  <si>
    <t>utg777.equina_smart_1473457.mrna2</t>
  </si>
  <si>
    <t>A0A0S1M1A7</t>
  </si>
  <si>
    <t>evm.utg498.104</t>
  </si>
  <si>
    <t>A0A6P8HXU0</t>
  </si>
  <si>
    <t>evm.utg715.28</t>
  </si>
  <si>
    <t>A7RXV4</t>
  </si>
  <si>
    <t>evm.utg2757.68</t>
  </si>
  <si>
    <t>A0A6P8IPW8</t>
  </si>
  <si>
    <t>evm.utg16223.13</t>
  </si>
  <si>
    <t>A0A6P8IE25</t>
  </si>
  <si>
    <t>evm.utg710.35</t>
  </si>
  <si>
    <t>A0A6P8IS03</t>
  </si>
  <si>
    <t>evm.utg379.32</t>
  </si>
  <si>
    <t>A0A6P8IIS0</t>
  </si>
  <si>
    <t>evm.utg2932.11</t>
  </si>
  <si>
    <t>A0A6P8HYV2</t>
  </si>
  <si>
    <t>utg1002.equina_smart_263049.mrna1</t>
  </si>
  <si>
    <t>A0A6P8I381</t>
  </si>
  <si>
    <t>evm.utg4455.12</t>
  </si>
  <si>
    <t>A0A6P8HYV8</t>
  </si>
  <si>
    <t>evm.utg479.142</t>
  </si>
  <si>
    <t>A0A6P8IYA5</t>
  </si>
  <si>
    <t>evm.utg5390.2</t>
  </si>
  <si>
    <t>A0A6P8I048</t>
  </si>
  <si>
    <t>evm.utg112.49</t>
  </si>
  <si>
    <t>evm.utg162.16</t>
  </si>
  <si>
    <t>A0A6P8HFF2</t>
  </si>
  <si>
    <t>evm.utg729.58</t>
  </si>
  <si>
    <t>A0A6P8I8H1</t>
  </si>
  <si>
    <t>evm.utg4157.34</t>
  </si>
  <si>
    <t>A0A6P8HEU1</t>
  </si>
  <si>
    <t>evm.utg1278.28</t>
  </si>
  <si>
    <t>A0A6P8HDH3</t>
  </si>
  <si>
    <t>evm.utg92.24</t>
  </si>
  <si>
    <t>A0A6P8H2I8</t>
  </si>
  <si>
    <t>evm.utg12889.15</t>
  </si>
  <si>
    <t>A0A6P8J2T0</t>
  </si>
  <si>
    <t>evm.utg379.20</t>
  </si>
  <si>
    <t>A0A7D9EF48</t>
  </si>
  <si>
    <t>evm.utg1663.12</t>
  </si>
  <si>
    <t>A0A6P8HQX7</t>
  </si>
  <si>
    <t>evm.utg1972.86</t>
  </si>
  <si>
    <t>A0A6P8HXD4</t>
  </si>
  <si>
    <t>Primed</t>
  </si>
  <si>
    <t>evm.utg2099.78</t>
  </si>
  <si>
    <t>A0A6P8H9N4</t>
  </si>
  <si>
    <t>evm.utg178.50</t>
  </si>
  <si>
    <t>A0A6P8HG67</t>
  </si>
  <si>
    <t>evm.utg3013.18</t>
  </si>
  <si>
    <t>A7RGG2</t>
  </si>
  <si>
    <t>evm.utg715.41</t>
  </si>
  <si>
    <t>A0A6P8I8G8</t>
  </si>
  <si>
    <t>evm.utg3872.21</t>
  </si>
  <si>
    <t>A0A6P8JA94</t>
  </si>
  <si>
    <t>evm.utg107.37</t>
  </si>
  <si>
    <t>A0A6P8HA37</t>
  </si>
  <si>
    <t>evm.utg1205.143.145</t>
  </si>
  <si>
    <t>A0A6P8HHT4</t>
  </si>
  <si>
    <t>evm.utg82.23</t>
  </si>
  <si>
    <t>A0A6P8JEN2</t>
  </si>
  <si>
    <t>evm.utg1432.30</t>
  </si>
  <si>
    <t>A0A6P8HZZ6</t>
  </si>
  <si>
    <t>evm.utg1051.74</t>
  </si>
  <si>
    <t>A0A6S7I928</t>
  </si>
  <si>
    <t>evm.utg4567.7</t>
  </si>
  <si>
    <t>A0A913YE80</t>
  </si>
  <si>
    <t>evm.utg92.58</t>
  </si>
  <si>
    <t>A0A6P8I9T6</t>
  </si>
  <si>
    <t>From</t>
  </si>
  <si>
    <t>Entry</t>
  </si>
  <si>
    <t>Reviewed</t>
  </si>
  <si>
    <t>Entry Name</t>
  </si>
  <si>
    <t>Protein names</t>
  </si>
  <si>
    <t>Gene Names</t>
  </si>
  <si>
    <t>Organism</t>
  </si>
  <si>
    <t>Length</t>
  </si>
  <si>
    <t>unreviewed</t>
  </si>
  <si>
    <t>A0A6P8H0Z5_ACTTE</t>
  </si>
  <si>
    <t>Uncharacterized protein LOC116287521</t>
  </si>
  <si>
    <t>LOC116287521</t>
  </si>
  <si>
    <t>Actinia tenebrosa (Australian red waratah sea anemone)</t>
  </si>
  <si>
    <t>147</t>
  </si>
  <si>
    <t>A0A6P8H0R6_ACTTE</t>
  </si>
  <si>
    <t>Uncharacterized protein LOC116286539</t>
  </si>
  <si>
    <t>LOC116286539</t>
  </si>
  <si>
    <t>117</t>
  </si>
  <si>
    <t>A0A6P8IVD5_ACTTE</t>
  </si>
  <si>
    <t>ETS domain-containing transcription factor ERF-like</t>
  </si>
  <si>
    <t>LOC116305468</t>
  </si>
  <si>
    <t>210</t>
  </si>
  <si>
    <t>A0A6P8IUL1_ACTTE</t>
  </si>
  <si>
    <t>Scavenger receptor cysteine-rich type 1 protein M160-like</t>
  </si>
  <si>
    <t>LOC116304274</t>
  </si>
  <si>
    <t>328</t>
  </si>
  <si>
    <t>A0A6P8I5H0_ACTTE</t>
  </si>
  <si>
    <t>Hemicentin-1-like</t>
  </si>
  <si>
    <t>LOC116296164</t>
  </si>
  <si>
    <t>894</t>
  </si>
  <si>
    <t>A0A913WYE0_EXADI</t>
  </si>
  <si>
    <t>ISXO2-like transposase domain-containing protein</t>
  </si>
  <si>
    <t/>
  </si>
  <si>
    <t>Exaiptasia diaphana (Tropical sea anemone) (Aiptasia pulchella)</t>
  </si>
  <si>
    <t>266</t>
  </si>
  <si>
    <t>A0A1D7XF02_ACTTE</t>
  </si>
  <si>
    <t>Blue chromoprotein 2</t>
  </si>
  <si>
    <t>232</t>
  </si>
  <si>
    <t>A0A6P8I4D9_ACTTE</t>
  </si>
  <si>
    <t>Equistatin</t>
  </si>
  <si>
    <t>LOC116298417</t>
  </si>
  <si>
    <t>215</t>
  </si>
  <si>
    <t>A0A6P8I334_ACTTE</t>
  </si>
  <si>
    <t>Mitochondrial glutamate carrier 2 (Glutamate/H(+) symporter 2) (Solute carrier family 25 member 18)</t>
  </si>
  <si>
    <t>LOC116298580</t>
  </si>
  <si>
    <t>325</t>
  </si>
  <si>
    <t>A0A6P8HD73_ACTTE</t>
  </si>
  <si>
    <t>Homeobox protein OTX-like</t>
  </si>
  <si>
    <t>LOC116290663</t>
  </si>
  <si>
    <t>265</t>
  </si>
  <si>
    <t>A0A6P8HC30_ACTTE</t>
  </si>
  <si>
    <t>Fibroblast growth factor (FGF)</t>
  </si>
  <si>
    <t>LOC116289884</t>
  </si>
  <si>
    <t>196</t>
  </si>
  <si>
    <t>A0A6P8IWV2_ACTTE</t>
  </si>
  <si>
    <t>Uncharacterized protein LOC116304867 isoform X1</t>
  </si>
  <si>
    <t>LOC116304867</t>
  </si>
  <si>
    <t>567</t>
  </si>
  <si>
    <t>A0A6P8I8R1_ACTTE</t>
  </si>
  <si>
    <t>Uncharacterized protein LOC116297048</t>
  </si>
  <si>
    <t>LOC116297048</t>
  </si>
  <si>
    <t>796</t>
  </si>
  <si>
    <t>A0A6P8I117_ACTTE</t>
  </si>
  <si>
    <t>Hemicentin-2-like</t>
  </si>
  <si>
    <t>LOC116297351</t>
  </si>
  <si>
    <t>358</t>
  </si>
  <si>
    <t>A0A913YAD9_EXADI</t>
  </si>
  <si>
    <t>F5/8 type C domain-containing protein</t>
  </si>
  <si>
    <t>868</t>
  </si>
  <si>
    <t>A0A6P8HC40_ACTTE</t>
  </si>
  <si>
    <t>Tenascin-like</t>
  </si>
  <si>
    <t>LOC116291011</t>
  </si>
  <si>
    <t>A0A6P8J7F4_ACTTE</t>
  </si>
  <si>
    <t>Uncharacterized protein LOC116307630 isoform X1</t>
  </si>
  <si>
    <t>LOC116307630</t>
  </si>
  <si>
    <t>254</t>
  </si>
  <si>
    <t>A0A6P8HDS0_ACTTE</t>
  </si>
  <si>
    <t>Uncharacterized protein LOC116290330 isoform X1</t>
  </si>
  <si>
    <t>LOC116290330</t>
  </si>
  <si>
    <t>A0A6P8IQ84_ACTTE</t>
  </si>
  <si>
    <t>Uncharacterized protein LOC116303633</t>
  </si>
  <si>
    <t>LOC116303633</t>
  </si>
  <si>
    <t>904</t>
  </si>
  <si>
    <t>A0A6P8I0R9_ACTTE</t>
  </si>
  <si>
    <t>Uncharacterized protein LOC116294921</t>
  </si>
  <si>
    <t>LOC116294921</t>
  </si>
  <si>
    <t>193</t>
  </si>
  <si>
    <t>A0A6P8H9S7_ACTTE</t>
  </si>
  <si>
    <t>Uncharacterized protein LOC116290329 isoform X2</t>
  </si>
  <si>
    <t>LOC116290329</t>
  </si>
  <si>
    <t>127</t>
  </si>
  <si>
    <t>A0A6P8H2V8_ACTTE</t>
  </si>
  <si>
    <t>Uncharacterized protein LOC116287407</t>
  </si>
  <si>
    <t>LOC116287407</t>
  </si>
  <si>
    <t>177</t>
  </si>
  <si>
    <t>A0A6P8IQX8_ACTTE</t>
  </si>
  <si>
    <t>Uncharacterized protein LOC116303300</t>
  </si>
  <si>
    <t>LOC116303300</t>
  </si>
  <si>
    <t>136</t>
  </si>
  <si>
    <t>A0A6P8IL23_ACTTE</t>
  </si>
  <si>
    <t>Probable calcium-binding protein CML16</t>
  </si>
  <si>
    <t>LOC116302322</t>
  </si>
  <si>
    <t>160</t>
  </si>
  <si>
    <t>A0A6P8IUB5_ACTTE</t>
  </si>
  <si>
    <t>Uncharacterized protein LOC116304869 isoform X2</t>
  </si>
  <si>
    <t>LOC116304869</t>
  </si>
  <si>
    <t>452</t>
  </si>
  <si>
    <t>A0A6P8HCY0_ACTTE</t>
  </si>
  <si>
    <t>Uncharacterized protein LOC116287833 isoform X1</t>
  </si>
  <si>
    <t>LOC116287833</t>
  </si>
  <si>
    <t>505</t>
  </si>
  <si>
    <t>A0A6P8I6K0_ACTTE</t>
  </si>
  <si>
    <t>Zinc finger protein 143-like isoform X2</t>
  </si>
  <si>
    <t>LOC116296292</t>
  </si>
  <si>
    <t>576</t>
  </si>
  <si>
    <t>A0A6P8IL53_ACTTE</t>
  </si>
  <si>
    <t>Ectodysplasin-A-like isoform X1</t>
  </si>
  <si>
    <t>LOC116302515</t>
  </si>
  <si>
    <t>334</t>
  </si>
  <si>
    <t>A0A6P8HJ94_ACTTE</t>
  </si>
  <si>
    <t>Uncharacterized protein LOC116289868</t>
  </si>
  <si>
    <t>LOC116289868</t>
  </si>
  <si>
    <t>347</t>
  </si>
  <si>
    <t>A0A6P8I4J0_ACTTE</t>
  </si>
  <si>
    <t>Uncharacterized protein LOC116296003</t>
  </si>
  <si>
    <t>LOC116296003</t>
  </si>
  <si>
    <t>176</t>
  </si>
  <si>
    <t>A0A6P8HNZ8_ACTTE</t>
  </si>
  <si>
    <t>WAS/WASL-interacting protein family member 3-like isoform X1</t>
  </si>
  <si>
    <t>LOC116293477</t>
  </si>
  <si>
    <t>277</t>
  </si>
  <si>
    <t>A0A6P8I4E6_ACTTE</t>
  </si>
  <si>
    <t>lysoplasmalogenase (EC 3.3.2.2)</t>
  </si>
  <si>
    <t>LOC116295847</t>
  </si>
  <si>
    <t>270</t>
  </si>
  <si>
    <t>A0A6P8I8T2_ACTTE</t>
  </si>
  <si>
    <t>Uncharacterized protein LOC116297422</t>
  </si>
  <si>
    <t>LOC116297422</t>
  </si>
  <si>
    <t>914</t>
  </si>
  <si>
    <t>A0A6P8IEI8_ACTTE</t>
  </si>
  <si>
    <t>Uncharacterized protein LOC116300558</t>
  </si>
  <si>
    <t>LOC116300558</t>
  </si>
  <si>
    <t>402</t>
  </si>
  <si>
    <t>A0A6P8J3G8_ACTTE</t>
  </si>
  <si>
    <t>Uncharacterized protein LOC116308307</t>
  </si>
  <si>
    <t>LOC116308307</t>
  </si>
  <si>
    <t>233</t>
  </si>
  <si>
    <t>A0A6P8IHN5_ACTTE</t>
  </si>
  <si>
    <t>Uncharacterized protein LOC116301420</t>
  </si>
  <si>
    <t>LOC116301420</t>
  </si>
  <si>
    <t>1274</t>
  </si>
  <si>
    <t>A0A6P8H4Z0_ACTTE</t>
  </si>
  <si>
    <t>Homeobox protein SIX6-like</t>
  </si>
  <si>
    <t>LOC116288027</t>
  </si>
  <si>
    <t>237</t>
  </si>
  <si>
    <t>A0A7M5XBH0_9CNID</t>
  </si>
  <si>
    <t>Uncharacterized protein</t>
  </si>
  <si>
    <t>Clytia hemisphaerica</t>
  </si>
  <si>
    <t>2936</t>
  </si>
  <si>
    <t>A0A6P8HBR5_ACTTE</t>
  </si>
  <si>
    <t>Uncharacterized protein LOC116287404</t>
  </si>
  <si>
    <t>LOC116287404</t>
  </si>
  <si>
    <t>487</t>
  </si>
  <si>
    <t>A0A6P8H1M9_ACTTE</t>
  </si>
  <si>
    <t>Homeobox protein Nkx-3.2 (Bagpipe homeobox protein homolog 1)</t>
  </si>
  <si>
    <t>LOC116287085</t>
  </si>
  <si>
    <t>256</t>
  </si>
  <si>
    <t>A0A6P8H1X3_ACTTE</t>
  </si>
  <si>
    <t>Uncharacterized protein LOC116287832</t>
  </si>
  <si>
    <t>LOC116287832</t>
  </si>
  <si>
    <t>396</t>
  </si>
  <si>
    <t>A0A6S7IFQ3_PARCT</t>
  </si>
  <si>
    <t>94 secreted antigen</t>
  </si>
  <si>
    <t>PACLA_8A045298</t>
  </si>
  <si>
    <t>Paramuricea clavata (Red gorgonian) (Violescent sea-whip)</t>
  </si>
  <si>
    <t>135</t>
  </si>
  <si>
    <t>A7SCB3_NEMVE</t>
  </si>
  <si>
    <t>NEMVEDRAFT_v1g244269</t>
  </si>
  <si>
    <t>Nematostella vectensis (Starlet sea anemone)</t>
  </si>
  <si>
    <t>149</t>
  </si>
  <si>
    <t>A0A6P8H6B2_ACTTE</t>
  </si>
  <si>
    <t>Uncharacterized protein LOC116288275</t>
  </si>
  <si>
    <t>LOC116288275</t>
  </si>
  <si>
    <t>353</t>
  </si>
  <si>
    <t>A0A6P8J467_ACTTE</t>
  </si>
  <si>
    <t>Transporter</t>
  </si>
  <si>
    <t>LOC116308518</t>
  </si>
  <si>
    <t>621</t>
  </si>
  <si>
    <t>A0A6P8IVP7_ACTTE</t>
  </si>
  <si>
    <t>Basic proline-rich protein-like</t>
  </si>
  <si>
    <t>LOC116304569</t>
  </si>
  <si>
    <t>302</t>
  </si>
  <si>
    <t>A0A6P8IAM4_ACTTE</t>
  </si>
  <si>
    <t>Protein pangolin, isoforms A/H/I/S-like isoform X1</t>
  </si>
  <si>
    <t>LOC116297634</t>
  </si>
  <si>
    <t>406</t>
  </si>
  <si>
    <t>A0A6P8I873_ACTTE</t>
  </si>
  <si>
    <t>Uncharacterized protein LOC116297222</t>
  </si>
  <si>
    <t>LOC116297222</t>
  </si>
  <si>
    <t>222</t>
  </si>
  <si>
    <t>A0A6P8I1K4_ACTTE</t>
  </si>
  <si>
    <t>Neural retina-specific leucine zipper protein</t>
  </si>
  <si>
    <t>LOC116295161</t>
  </si>
  <si>
    <t>236</t>
  </si>
  <si>
    <t>A0A6P8IMV9_ACTTE</t>
  </si>
  <si>
    <t>Neuronal acetylcholine receptor subunit alpha-7-like</t>
  </si>
  <si>
    <t>LOC116302676</t>
  </si>
  <si>
    <t>437</t>
  </si>
  <si>
    <t>A0A6P8IU16_ACTTE</t>
  </si>
  <si>
    <t>2-oxoglutarate and iron-dependent oxygenase JMJD4-like</t>
  </si>
  <si>
    <t>LOC116304887</t>
  </si>
  <si>
    <t>508</t>
  </si>
  <si>
    <t>A0A6P8I5Y6_ACTTE</t>
  </si>
  <si>
    <t>Formin-like protein 5</t>
  </si>
  <si>
    <t>LOC116296515</t>
  </si>
  <si>
    <t>151</t>
  </si>
  <si>
    <t>A0A6P8I1X6_ACTTE</t>
  </si>
  <si>
    <t>Probable G-protein coupled receptor No18</t>
  </si>
  <si>
    <t>LOC116295255</t>
  </si>
  <si>
    <t>344</t>
  </si>
  <si>
    <t>A0A6P8IUU4_ACTTE</t>
  </si>
  <si>
    <t>Neuropeptide FF receptor 2-like</t>
  </si>
  <si>
    <t>LOC116305026</t>
  </si>
  <si>
    <t>359</t>
  </si>
  <si>
    <t>A0A6P8GX01_ACTTE</t>
  </si>
  <si>
    <t>D-cysteine desulfhydrase 1, mitochondrial</t>
  </si>
  <si>
    <t>LOC116286404</t>
  </si>
  <si>
    <t>369</t>
  </si>
  <si>
    <t>A0A6P8HDW7_ACTTE</t>
  </si>
  <si>
    <t>Uncharacterized protein LOC116291582 isoform X1</t>
  </si>
  <si>
    <t>LOC116291582</t>
  </si>
  <si>
    <t>267</t>
  </si>
  <si>
    <t>A0A6P8IIM2_ACTTE</t>
  </si>
  <si>
    <t>Alpha,alpha-trehalose-phosphate synthase [UDP-forming]-like</t>
  </si>
  <si>
    <t>LOC116301643</t>
  </si>
  <si>
    <t>507</t>
  </si>
  <si>
    <t>A0A6P8IDG2_ACTTE</t>
  </si>
  <si>
    <t>Complement C1q subcomponent subunit B-like isoform X1</t>
  </si>
  <si>
    <t>LOC116299674</t>
  </si>
  <si>
    <t>263</t>
  </si>
  <si>
    <t>A0A7M5X6D2_9CNID</t>
  </si>
  <si>
    <t>284</t>
  </si>
  <si>
    <t>A0A6P8I3D5_ACTTE</t>
  </si>
  <si>
    <t>Solute carrier family 23 member 2-like</t>
  </si>
  <si>
    <t>LOC116298677</t>
  </si>
  <si>
    <t>605</t>
  </si>
  <si>
    <t>A0A6P8HZF8_ACTTE</t>
  </si>
  <si>
    <t>Sialin (H(+)/nitrate cotransporter) (H(+)/sialic acid cotransporter) (Vesicular excitatory amino acid transporter)</t>
  </si>
  <si>
    <t>LOC116296841</t>
  </si>
  <si>
    <t>531</t>
  </si>
  <si>
    <t>A0A6P8IK88_ACTTE</t>
  </si>
  <si>
    <t>LIX1-like protein</t>
  </si>
  <si>
    <t>LOC116302123</t>
  </si>
  <si>
    <t>294</t>
  </si>
  <si>
    <t>A0A6P8H9W0_ACTTE</t>
  </si>
  <si>
    <t>Inhibin beta B chain-like</t>
  </si>
  <si>
    <t>LOC116287034</t>
  </si>
  <si>
    <t>412</t>
  </si>
  <si>
    <t>A0A6P8I9L1_ACTTE</t>
  </si>
  <si>
    <t>Uncharacterized protein LOC116299382 isoform X2</t>
  </si>
  <si>
    <t>LOC116299382</t>
  </si>
  <si>
    <t>742</t>
  </si>
  <si>
    <t>A0A6P8I6R9_ACTTE</t>
  </si>
  <si>
    <t>Ephrin type-B receptor 6-like</t>
  </si>
  <si>
    <t>LOC116296533</t>
  </si>
  <si>
    <t>649</t>
  </si>
  <si>
    <t>A0A6P8I4Q3_ACTTE</t>
  </si>
  <si>
    <t>Deleted in malignant brain tumors 1 protein-like</t>
  </si>
  <si>
    <t>LOC116299051</t>
  </si>
  <si>
    <t>421</t>
  </si>
  <si>
    <t>A0A6P8H7G6_ACTTE</t>
  </si>
  <si>
    <t>Vitelline membrane outer layer protein 1-like</t>
  </si>
  <si>
    <t>LOC116289544</t>
  </si>
  <si>
    <t>209</t>
  </si>
  <si>
    <t>A0A6P8ISZ2_ACTTE</t>
  </si>
  <si>
    <t>Uncharacterized protein LOC116304503</t>
  </si>
  <si>
    <t>LOC116304503</t>
  </si>
  <si>
    <t>315</t>
  </si>
  <si>
    <t>A0A6P8J4C4_ACTTE</t>
  </si>
  <si>
    <t>Uncharacterized protein LOC116308239</t>
  </si>
  <si>
    <t>LOC116308239</t>
  </si>
  <si>
    <t>821</t>
  </si>
  <si>
    <t>A0A6P8J5J4_ACTTE</t>
  </si>
  <si>
    <t>Hexosyltransferase (EC 2.4.1.-)</t>
  </si>
  <si>
    <t>LOC116306757</t>
  </si>
  <si>
    <t>408</t>
  </si>
  <si>
    <t>A0A6P8I2U1_ACTTE</t>
  </si>
  <si>
    <t>Ankyrin repeat domain-containing protein 10-like</t>
  </si>
  <si>
    <t>LOC116295515</t>
  </si>
  <si>
    <t>319</t>
  </si>
  <si>
    <t>A0A6P8HDS9_ACTTE</t>
  </si>
  <si>
    <t>Fibropellin-1-like</t>
  </si>
  <si>
    <t>LOC116291536</t>
  </si>
  <si>
    <t>644</t>
  </si>
  <si>
    <t>A0A6P8HFP2_ACTTE</t>
  </si>
  <si>
    <t>QRFP-like peptide receptor</t>
  </si>
  <si>
    <t>LOC116291583</t>
  </si>
  <si>
    <t>364</t>
  </si>
  <si>
    <t>A0A6P8I750_ACTTE</t>
  </si>
  <si>
    <t>Perlucin-like protein</t>
  </si>
  <si>
    <t>LOC116296613</t>
  </si>
  <si>
    <t>187</t>
  </si>
  <si>
    <t>A0A6P8HVN2_ACTTE</t>
  </si>
  <si>
    <t>Uncharacterized protein LOC116296569</t>
  </si>
  <si>
    <t>LOC116296569</t>
  </si>
  <si>
    <t>161</t>
  </si>
  <si>
    <t>A0A6P8HJU3_ACTTE</t>
  </si>
  <si>
    <t>DnaJ homolog subfamily C member 21</t>
  </si>
  <si>
    <t>LOC116293373</t>
  </si>
  <si>
    <t>606</t>
  </si>
  <si>
    <t>A0A6P8H1G5_ACTTE</t>
  </si>
  <si>
    <t>U-actitoxin-Avd8d-like</t>
  </si>
  <si>
    <t>LOC116287015</t>
  </si>
  <si>
    <t>88</t>
  </si>
  <si>
    <t>A0A6P8H657_ACTTE</t>
  </si>
  <si>
    <t>Tyrosine aminotransferase (TAT) (EC 2.6.1.5)</t>
  </si>
  <si>
    <t>LOC116288334</t>
  </si>
  <si>
    <t>392</t>
  </si>
  <si>
    <t>A0A6P8HPX7_ACTTE</t>
  </si>
  <si>
    <t>Diacylglycerol kinase (DAG kinase) (EC 2.7.1.107)</t>
  </si>
  <si>
    <t>LOC116291646</t>
  </si>
  <si>
    <t>1252</t>
  </si>
  <si>
    <t>A0A6P8I911_ACTTE</t>
  </si>
  <si>
    <t>Uncharacterized protein LOC116297111</t>
  </si>
  <si>
    <t>LOC116297111</t>
  </si>
  <si>
    <t>1745</t>
  </si>
  <si>
    <t>A0A6P8HTM5_ACTTE</t>
  </si>
  <si>
    <t>Uncharacterized protein LOC116295159</t>
  </si>
  <si>
    <t>LOC116295159</t>
  </si>
  <si>
    <t>445</t>
  </si>
  <si>
    <t>A0A6P8IVL1_ACTTE</t>
  </si>
  <si>
    <t>Antileukoproteinase-like</t>
  </si>
  <si>
    <t>LOC116304543</t>
  </si>
  <si>
    <t>A0A6P8HEZ5_ACTTE</t>
  </si>
  <si>
    <t>Uncharacterized protein LOC116291298</t>
  </si>
  <si>
    <t>LOC116291298</t>
  </si>
  <si>
    <t>485</t>
  </si>
  <si>
    <t>A0A6P8ITH1_ACTTE</t>
  </si>
  <si>
    <t>Peroxisomal and mitochondrial division factor 1-like isoform X2</t>
  </si>
  <si>
    <t>LOC116304623</t>
  </si>
  <si>
    <t>289</t>
  </si>
  <si>
    <t>A0A6P8JCH0_ACTTE</t>
  </si>
  <si>
    <t>ornithine decarboxylase (EC 4.1.1.17)</t>
  </si>
  <si>
    <t>LOC116308917</t>
  </si>
  <si>
    <t>A0A6P8IJZ6_ACTTE</t>
  </si>
  <si>
    <t>Metabotropic glutamate receptor 3-like isoform X1 (Metabotropic glutamate receptor 3-like isoform X2)</t>
  </si>
  <si>
    <t>LOC116301787</t>
  </si>
  <si>
    <t>1114</t>
  </si>
  <si>
    <t>A0A6P8IVM9_ACTTE</t>
  </si>
  <si>
    <t>Frizzled-9-like</t>
  </si>
  <si>
    <t>LOC116305302</t>
  </si>
  <si>
    <t>657</t>
  </si>
  <si>
    <t>A0A6P8J8B0_ACTTE</t>
  </si>
  <si>
    <t>LIM/homeobox protein Lhx1-like</t>
  </si>
  <si>
    <t>LOC116307251</t>
  </si>
  <si>
    <t>368</t>
  </si>
  <si>
    <t>A0A6P8HAX4_ACTTE</t>
  </si>
  <si>
    <t>von Willebrand factor D and EGF domain-containing protein-like</t>
  </si>
  <si>
    <t>LOC116287145</t>
  </si>
  <si>
    <t>1188</t>
  </si>
  <si>
    <t>A0A6P8I5X6_ACTTE</t>
  </si>
  <si>
    <t>Pollen-specific leucine-rich repeat extensin-like protein 3</t>
  </si>
  <si>
    <t>LOC116296508</t>
  </si>
  <si>
    <t>A0A6P8IZC3_ACTTE</t>
  </si>
  <si>
    <t>Ankyrin repeat and BTB/POZ domain-containing protein 1-like</t>
  </si>
  <si>
    <t>LOC116306872</t>
  </si>
  <si>
    <t>504</t>
  </si>
  <si>
    <t>A0A6P8J7N7_ACTTE</t>
  </si>
  <si>
    <t>Uncharacterized protein LOC116307107 isoform X1</t>
  </si>
  <si>
    <t>LOC116307107</t>
  </si>
  <si>
    <t>4126</t>
  </si>
  <si>
    <t>A0A6P8J1M8_ACTTE</t>
  </si>
  <si>
    <t>Homeobox protein OTX-like isoform X3</t>
  </si>
  <si>
    <t>LOC116307323</t>
  </si>
  <si>
    <t>231</t>
  </si>
  <si>
    <t>A0A6P8H957_ACTTE</t>
  </si>
  <si>
    <t>procollagen-proline 4-dioxygenase (EC 1.14.11.2)</t>
  </si>
  <si>
    <t>LOC116290110</t>
  </si>
  <si>
    <t>535</t>
  </si>
  <si>
    <t>A0A6P8HSE0_ACTTE</t>
  </si>
  <si>
    <t>Deleted in malignant brain tumors 1 protein-like isoform X2</t>
  </si>
  <si>
    <t>LOC116295585</t>
  </si>
  <si>
    <t>612</t>
  </si>
  <si>
    <t>A0A6P8HT45_ACTTE</t>
  </si>
  <si>
    <t>Uncharacterized protein LOC116292601</t>
  </si>
  <si>
    <t>LOC116292601</t>
  </si>
  <si>
    <t>1560</t>
  </si>
  <si>
    <t>A0A6P8HWQ3_ACTTE</t>
  </si>
  <si>
    <t>Cholinesterase 1-like</t>
  </si>
  <si>
    <t>LOC116296849</t>
  </si>
  <si>
    <t>579</t>
  </si>
  <si>
    <t>A0A6P8HBJ4_ACTTE</t>
  </si>
  <si>
    <t>Transmembrane protein 205-like</t>
  </si>
  <si>
    <t>LOC116290136</t>
  </si>
  <si>
    <t>253</t>
  </si>
  <si>
    <t>A0A6P8HBX8_ACTTE</t>
  </si>
  <si>
    <t>Uncharacterized protein LOC116290945</t>
  </si>
  <si>
    <t>LOC116290945</t>
  </si>
  <si>
    <t>A0A6P8J6W2_ACTTE</t>
  </si>
  <si>
    <t>Uncharacterized protein LOC116306956</t>
  </si>
  <si>
    <t>LOC116306956</t>
  </si>
  <si>
    <t>A0A6P8HBS0_ACTTE</t>
  </si>
  <si>
    <t>Uncharacterized protein LOC116287411 isoform X1</t>
  </si>
  <si>
    <t>LOC116287411</t>
  </si>
  <si>
    <t>4111</t>
  </si>
  <si>
    <t>A0A6P8I4R9_ACTTE</t>
  </si>
  <si>
    <t>Neurogenic locus notch homolog protein 1-like</t>
  </si>
  <si>
    <t>LOC116296086</t>
  </si>
  <si>
    <t>450</t>
  </si>
  <si>
    <t>A0A6P8J2H6_ACTTE</t>
  </si>
  <si>
    <t>Uncharacterized protein LOC116307630 isoform X2</t>
  </si>
  <si>
    <t>A0A6P8HLZ0_ACTTE</t>
  </si>
  <si>
    <t>Collagen alpha-1(I) chain-like</t>
  </si>
  <si>
    <t>LOC116293465</t>
  </si>
  <si>
    <t>1329</t>
  </si>
  <si>
    <t>A0A6P8IWD7_ACTTE</t>
  </si>
  <si>
    <t>Uncharacterized protein LOC116305856</t>
  </si>
  <si>
    <t>LOC116305856</t>
  </si>
  <si>
    <t>545</t>
  </si>
  <si>
    <t>A7SLA3_NEMVE</t>
  </si>
  <si>
    <t>NEMVEDRAFT_v1g245995</t>
  </si>
  <si>
    <t>150</t>
  </si>
  <si>
    <t>A0A6P8I5Y1_ACTTE</t>
  </si>
  <si>
    <t>Leucine-rich repeat extensin-like protein 3</t>
  </si>
  <si>
    <t>LOC116296512</t>
  </si>
  <si>
    <t>A0A6P8HNN6_ACTTE</t>
  </si>
  <si>
    <t>Polycystin-1-like</t>
  </si>
  <si>
    <t>LOC116294509</t>
  </si>
  <si>
    <t>4043</t>
  </si>
  <si>
    <t>A0A6P8HTJ6_ACTTE</t>
  </si>
  <si>
    <t>Uncharacterized protein LOC116292747</t>
  </si>
  <si>
    <t>LOC116292747</t>
  </si>
  <si>
    <t>143</t>
  </si>
  <si>
    <t>A0A6P8IKA8_ACTTE</t>
  </si>
  <si>
    <t>Fibroblast growth factor receptor 4-like isoform X3</t>
  </si>
  <si>
    <t>LOC116301850</t>
  </si>
  <si>
    <t>946</t>
  </si>
  <si>
    <t>A0A6P8ITT3_ACTTE</t>
  </si>
  <si>
    <t>Uncharacterized protein LOC116304698</t>
  </si>
  <si>
    <t>LOC116304698</t>
  </si>
  <si>
    <t>377</t>
  </si>
  <si>
    <t>A0A6P8I5W5_ACTTE</t>
  </si>
  <si>
    <t>Krueppel-like factor 12 isoform X2</t>
  </si>
  <si>
    <t>LOC116298426</t>
  </si>
  <si>
    <t>481</t>
  </si>
  <si>
    <t>A0A6P8J3Z7_ACTTE</t>
  </si>
  <si>
    <t>Folliculin-interacting protein 1-like</t>
  </si>
  <si>
    <t>LOC116308105</t>
  </si>
  <si>
    <t>1002</t>
  </si>
  <si>
    <t>A0A6P8H8R1_ACTTE</t>
  </si>
  <si>
    <t>Leucine-rich repeats and immunoglobulin-like domains protein 1</t>
  </si>
  <si>
    <t>LOC116286442</t>
  </si>
  <si>
    <t>851</t>
  </si>
  <si>
    <t>A0A6P8INV5_ACTTE</t>
  </si>
  <si>
    <t>SMC5-SMC6 complex localization factor protein 1-like</t>
  </si>
  <si>
    <t>LOC116303329</t>
  </si>
  <si>
    <t>997</t>
  </si>
  <si>
    <t>A0A6P8HSZ4_ACTTE</t>
  </si>
  <si>
    <t>Uncharacterized protein LOC116294819</t>
  </si>
  <si>
    <t>LOC116294819</t>
  </si>
  <si>
    <t>A0A6P8IDG1_ACTTE</t>
  </si>
  <si>
    <t>Cuticle collagen 1-like</t>
  </si>
  <si>
    <t>LOC116299669</t>
  </si>
  <si>
    <t>292</t>
  </si>
  <si>
    <t>A0A6P8HPQ7_ACTTE</t>
  </si>
  <si>
    <t>Serine/threonine-protein kinase Nek7-like</t>
  </si>
  <si>
    <t>LOC116294827</t>
  </si>
  <si>
    <t>340</t>
  </si>
  <si>
    <t>A0A6P8HMF2_ACTTE</t>
  </si>
  <si>
    <t>Fibrinogen C domain-containing protein 1-like</t>
  </si>
  <si>
    <t>LOC116293586</t>
  </si>
  <si>
    <t>282</t>
  </si>
  <si>
    <t>A0A913YAB4_EXADI</t>
  </si>
  <si>
    <t>207</t>
  </si>
  <si>
    <t>A0A6P8I6N5_ACTTE</t>
  </si>
  <si>
    <t>LOC116296498</t>
  </si>
  <si>
    <t>A0A6P8HNF5_ACTTE</t>
  </si>
  <si>
    <t>Uncharacterized protein LOC116291170</t>
  </si>
  <si>
    <t>LOC116291170</t>
  </si>
  <si>
    <t>432</t>
  </si>
  <si>
    <t>A0A6P8I8F8_ACTTE</t>
  </si>
  <si>
    <t>Fibropellin-3-like isoform X1</t>
  </si>
  <si>
    <t>LOC116297293</t>
  </si>
  <si>
    <t>A0A6P8ITZ2_ACTTE</t>
  </si>
  <si>
    <t>Gamma-butyrobetaine dioxygenase-like</t>
  </si>
  <si>
    <t>LOC116304158</t>
  </si>
  <si>
    <t>428</t>
  </si>
  <si>
    <t>A0A6P8HPE0_ACTTE</t>
  </si>
  <si>
    <t>SPRY domain-containing SOCS box protein 3</t>
  </si>
  <si>
    <t>LOC116291466</t>
  </si>
  <si>
    <t>A0A0S1M168_ANESU</t>
  </si>
  <si>
    <t>Type III potassium channel toxin protein</t>
  </si>
  <si>
    <t>KTx</t>
  </si>
  <si>
    <t>Anemonia sulcata (Mediterranean snakelocks sea anemone)</t>
  </si>
  <si>
    <t>83</t>
  </si>
  <si>
    <t>A0A6P8HSX7_ACTTE</t>
  </si>
  <si>
    <t>Myrosinase 1-like</t>
  </si>
  <si>
    <t>LOC116295731</t>
  </si>
  <si>
    <t>529</t>
  </si>
  <si>
    <t>Q9GPI6_ANESU</t>
  </si>
  <si>
    <t>Green fluorescent protein as(S)FP499 (Green fluorescent protein asFP499)</t>
  </si>
  <si>
    <t>228</t>
  </si>
  <si>
    <t>A0A6P8JFJ6_ACTTE</t>
  </si>
  <si>
    <t>Uncharacterized protein LOC116308748</t>
  </si>
  <si>
    <t>LOC116308748</t>
  </si>
  <si>
    <t>173</t>
  </si>
  <si>
    <t>A0A6P8I943_ACTTE</t>
  </si>
  <si>
    <t>Uncharacterized protein LOC116297518</t>
  </si>
  <si>
    <t>LOC116297518</t>
  </si>
  <si>
    <t>272</t>
  </si>
  <si>
    <t>A0A6P8HIA3_ACTTE</t>
  </si>
  <si>
    <t>Protein lethal(2)essential for life-like</t>
  </si>
  <si>
    <t>LOC116289548</t>
  </si>
  <si>
    <t>225</t>
  </si>
  <si>
    <t>A0A6P8JAN4_ACTTE</t>
  </si>
  <si>
    <t>LOC116308500</t>
  </si>
  <si>
    <t>597</t>
  </si>
  <si>
    <t>A7RTS7_NEMVE</t>
  </si>
  <si>
    <t>NEMVEDRAFT_v1g202038</t>
  </si>
  <si>
    <t>934</t>
  </si>
  <si>
    <t>A0A6P8IKG2_ACTTE</t>
  </si>
  <si>
    <t>Sestrin-1-like</t>
  </si>
  <si>
    <t>LOC116302296</t>
  </si>
  <si>
    <t>541</t>
  </si>
  <si>
    <t>A0A6P8HDK5_ACTTE</t>
  </si>
  <si>
    <t>Titin-like isoform X3</t>
  </si>
  <si>
    <t>LOC116288075</t>
  </si>
  <si>
    <t>15255</t>
  </si>
  <si>
    <t>A0A6P8IB65_ACTTE</t>
  </si>
  <si>
    <t>Rhophilin-2-B-like</t>
  </si>
  <si>
    <t>LOC116297843</t>
  </si>
  <si>
    <t>673</t>
  </si>
  <si>
    <t>A0A7D9JL00_PARCT</t>
  </si>
  <si>
    <t>Transport Sec24C, partial</t>
  </si>
  <si>
    <t>PACLA_8A078053</t>
  </si>
  <si>
    <t>415</t>
  </si>
  <si>
    <t>A0A6P8HUM7_ACTTE</t>
  </si>
  <si>
    <t>Fibrinogen-like protein A</t>
  </si>
  <si>
    <t>LOC116295342</t>
  </si>
  <si>
    <t>343</t>
  </si>
  <si>
    <t>A0A6P8IZV8_ACTTE</t>
  </si>
  <si>
    <t>Ectonucleoside triphosphate diphosphohydrolase 1-like</t>
  </si>
  <si>
    <t>LOC116307079</t>
  </si>
  <si>
    <t>417</t>
  </si>
  <si>
    <t>A0A6P8HGR9_ACTTE</t>
  </si>
  <si>
    <t>Pre-rRNA-processing protein TSR1 homolog</t>
  </si>
  <si>
    <t>LOC116292428</t>
  </si>
  <si>
    <t>776</t>
  </si>
  <si>
    <t>A0A6P8ISG8_ACTTE</t>
  </si>
  <si>
    <t>Uncharacterized protein LOC116304267</t>
  </si>
  <si>
    <t>LOC116304267</t>
  </si>
  <si>
    <t>206</t>
  </si>
  <si>
    <t>A0A913X302_EXADI</t>
  </si>
  <si>
    <t>A0A6P8H3W9_ACTTE</t>
  </si>
  <si>
    <t>GFP-like non-fluorescent chromoprotein FP595</t>
  </si>
  <si>
    <t>LOC116287602</t>
  </si>
  <si>
    <t>A0A6P8IAL6_ACTTE</t>
  </si>
  <si>
    <t>Collagen alpha-1(XV) chain-like</t>
  </si>
  <si>
    <t>LOC116299675</t>
  </si>
  <si>
    <t>A0A6P8HBM0_ACTTE</t>
  </si>
  <si>
    <t>Uncharacterized protein LOC116290855 isoform X2</t>
  </si>
  <si>
    <t>LOC116290855</t>
  </si>
  <si>
    <t>317</t>
  </si>
  <si>
    <t>A0A6P8I1H4_ACTTE</t>
  </si>
  <si>
    <t>Uncharacterized protein LOC116297289</t>
  </si>
  <si>
    <t>LOC116297289</t>
  </si>
  <si>
    <t>550</t>
  </si>
  <si>
    <t>A0A6P8HKR7_ACTTE</t>
  </si>
  <si>
    <t>Uncharacterized protein LOC116290334</t>
  </si>
  <si>
    <t>LOC116290334</t>
  </si>
  <si>
    <t>525</t>
  </si>
  <si>
    <t>A0A6P8J0A5_ACTTE</t>
  </si>
  <si>
    <t>Uncharacterized protein LOC116307236</t>
  </si>
  <si>
    <t>LOC116307236</t>
  </si>
  <si>
    <t>789</t>
  </si>
  <si>
    <t>A0A6P8HN50_ACTTE</t>
  </si>
  <si>
    <t>LOC116291103</t>
  </si>
  <si>
    <t>600</t>
  </si>
  <si>
    <t>A0A6P8HCT9_ACTTE</t>
  </si>
  <si>
    <t>Uncharacterized protein LOC116287790</t>
  </si>
  <si>
    <t>LOC116287790</t>
  </si>
  <si>
    <t>610</t>
  </si>
  <si>
    <t>A0A6P8IUY0_ACTTE</t>
  </si>
  <si>
    <t>Uncharacterized protein LOC116304369</t>
  </si>
  <si>
    <t>LOC116304369</t>
  </si>
  <si>
    <t>A0A6P8HB42_ACTTE</t>
  </si>
  <si>
    <t>Heme-binding protein 1</t>
  </si>
  <si>
    <t>LOC116289533</t>
  </si>
  <si>
    <t>307</t>
  </si>
  <si>
    <t>A0A6P8I010_ACTTE</t>
  </si>
  <si>
    <t>Transcription factor A, mitochondrial-like</t>
  </si>
  <si>
    <t>LOC116297038</t>
  </si>
  <si>
    <t>220</t>
  </si>
  <si>
    <t>A0A6P8H9W4_ACTTE</t>
  </si>
  <si>
    <t>Uncharacterized protein LOC116289530</t>
  </si>
  <si>
    <t>LOC116289530</t>
  </si>
  <si>
    <t>246</t>
  </si>
  <si>
    <t>A0A6P8HDV3_ACTTE</t>
  </si>
  <si>
    <t>T-box transcription factor TBX10-like isoform X1</t>
  </si>
  <si>
    <t>LOC116290363</t>
  </si>
  <si>
    <t>476</t>
  </si>
  <si>
    <t>A0A6P8HZ05_ACTTE</t>
  </si>
  <si>
    <t>Extracellular tyrosine-protein kinase PKDCC-like</t>
  </si>
  <si>
    <t>LOC116294439</t>
  </si>
  <si>
    <t>478</t>
  </si>
  <si>
    <t>A0A913XEX9_EXADI</t>
  </si>
  <si>
    <t>303</t>
  </si>
  <si>
    <t>A0A3M6UYN4_POCDA</t>
  </si>
  <si>
    <t>GIY-YIG domain-containing protein</t>
  </si>
  <si>
    <t>pdam_00023890</t>
  </si>
  <si>
    <t>Pocillopora damicornis (Cauliflower coral) (Millepora damicornis)</t>
  </si>
  <si>
    <t>121</t>
  </si>
  <si>
    <t>A0A6P8I5K6_ACTTE</t>
  </si>
  <si>
    <t>Uncharacterized protein LOC116298396</t>
  </si>
  <si>
    <t>LOC116298396</t>
  </si>
  <si>
    <t>287</t>
  </si>
  <si>
    <t>A0A6P8J9H6_ACTTE</t>
  </si>
  <si>
    <t>Vegetative cell wall protein gp1-like</t>
  </si>
  <si>
    <t>LOC116308172</t>
  </si>
  <si>
    <t>A0A6P8H108_ACTTE</t>
  </si>
  <si>
    <t>Uncharacterized protein LOC116287535</t>
  </si>
  <si>
    <t>LOC116287535</t>
  </si>
  <si>
    <t>756</t>
  </si>
  <si>
    <t>A0A6P8HWY9_ACTTE</t>
  </si>
  <si>
    <t>Arginine kinase</t>
  </si>
  <si>
    <t>LOC116293843</t>
  </si>
  <si>
    <t>715</t>
  </si>
  <si>
    <t>A0A0S1M1A7_ANESU</t>
  </si>
  <si>
    <t>78</t>
  </si>
  <si>
    <t>A0A6P8HXU0_ACTTE</t>
  </si>
  <si>
    <t>Polycystic kidney disease protein 1-like 2</t>
  </si>
  <si>
    <t>LOC116296293</t>
  </si>
  <si>
    <t>2858</t>
  </si>
  <si>
    <t>A7RXV4_NEMVE</t>
  </si>
  <si>
    <t>NEMVEDRAFT_v1g25864</t>
  </si>
  <si>
    <t>A0A6P8IPW8_ACTTE</t>
  </si>
  <si>
    <t>Uncharacterized protein LOC116303514</t>
  </si>
  <si>
    <t>LOC116303514</t>
  </si>
  <si>
    <t>1150</t>
  </si>
  <si>
    <t>A0A6P8IE25_ACTTE</t>
  </si>
  <si>
    <t>Uncharacterized protein LOC116299435</t>
  </si>
  <si>
    <t>LOC116299435</t>
  </si>
  <si>
    <t>A0A6P8IS03_ACTTE</t>
  </si>
  <si>
    <t>Transmembrane protein 53-like</t>
  </si>
  <si>
    <t>LOC116303701</t>
  </si>
  <si>
    <t>293</t>
  </si>
  <si>
    <t>A0A6P8IIS0_ACTTE</t>
  </si>
  <si>
    <t>Neuroendocrine convertase 1-like</t>
  </si>
  <si>
    <t>LOC116301779</t>
  </si>
  <si>
    <t>858</t>
  </si>
  <si>
    <t>A0A6P8HYV2_ACTTE</t>
  </si>
  <si>
    <t>Sushi, nidogen and EGF-like domain-containing protein 1</t>
  </si>
  <si>
    <t>LOC116296577</t>
  </si>
  <si>
    <t>473</t>
  </si>
  <si>
    <t>A0A6P8I381_ACTTE</t>
  </si>
  <si>
    <t>Uncharacterized protein LOC116295620 isoform X1</t>
  </si>
  <si>
    <t>LOC116295620</t>
  </si>
  <si>
    <t>A0A6P8HYV8_ACTTE</t>
  </si>
  <si>
    <t>LOC116296669</t>
  </si>
  <si>
    <t>592</t>
  </si>
  <si>
    <t>A0A6P8IYA5_ACTTE</t>
  </si>
  <si>
    <t>E3 ubiquitin-protein ligase TRIM71-like</t>
  </si>
  <si>
    <t>LOC116305123</t>
  </si>
  <si>
    <t>754</t>
  </si>
  <si>
    <t>A0A6P8I048_ACTTE</t>
  </si>
  <si>
    <t>Uncharacterized protein LOC116294724</t>
  </si>
  <si>
    <t>LOC116294724</t>
  </si>
  <si>
    <t>1635</t>
  </si>
  <si>
    <t>A0A6P8HFF2_ACTTE</t>
  </si>
  <si>
    <t>Uncharacterized protein LOC116291462</t>
  </si>
  <si>
    <t>LOC116291462</t>
  </si>
  <si>
    <t>335</t>
  </si>
  <si>
    <t>A0A6P8I8H1_ACTTE</t>
  </si>
  <si>
    <t>Nucleoside diphosphate kinase (EC 2.7.4.6)</t>
  </si>
  <si>
    <t>LOC116296968</t>
  </si>
  <si>
    <t>A0A6P8HEU1_ACTTE</t>
  </si>
  <si>
    <t>Multidrug and toxin extrusion protein</t>
  </si>
  <si>
    <t>LOC116291252</t>
  </si>
  <si>
    <t>A0A6P8HDH3_ACTTE</t>
  </si>
  <si>
    <t>Uncharacterized protein C1orf158 homolog</t>
  </si>
  <si>
    <t>LOC116291425</t>
  </si>
  <si>
    <t>224</t>
  </si>
  <si>
    <t>A0A6P8H2I8_ACTTE</t>
  </si>
  <si>
    <t>Protein HOS4-like</t>
  </si>
  <si>
    <t>LOC116287132</t>
  </si>
  <si>
    <t>242</t>
  </si>
  <si>
    <t>A0A6P8J2T0_ACTTE</t>
  </si>
  <si>
    <t>Hornerin-like</t>
  </si>
  <si>
    <t>LOC116306447</t>
  </si>
  <si>
    <t>464</t>
  </si>
  <si>
    <t>A0A7D9EF48_PARCT</t>
  </si>
  <si>
    <t>PACLA_8A022546</t>
  </si>
  <si>
    <t>94</t>
  </si>
  <si>
    <t>A0A6P8HQX7_ACTTE</t>
  </si>
  <si>
    <t>Growth/differentiation factor 8-like</t>
  </si>
  <si>
    <t>LOC116294086</t>
  </si>
  <si>
    <t>361</t>
  </si>
  <si>
    <t>A0A6P8HXD4_ACTTE</t>
  </si>
  <si>
    <t>Uncharacterized protein YMR196W-like isoform X1</t>
  </si>
  <si>
    <t>LOC116293963</t>
  </si>
  <si>
    <t>941</t>
  </si>
  <si>
    <t>A0A6P8H9N4_ACTTE</t>
  </si>
  <si>
    <t>Nascent polypeptide-associated complex subunit alpha, muscle-specific form-like isoform X1</t>
  </si>
  <si>
    <t>LOC116289450</t>
  </si>
  <si>
    <t>1243</t>
  </si>
  <si>
    <t>A0A6P8HG67_ACTTE</t>
  </si>
  <si>
    <t>5'-3' exoribonuclease 2-like isoform X1</t>
  </si>
  <si>
    <t>LOC116292262</t>
  </si>
  <si>
    <t>371</t>
  </si>
  <si>
    <t>A7RGG2_NEMVE</t>
  </si>
  <si>
    <t>G-protein coupled receptors family 1 profile domain-containing protein</t>
  </si>
  <si>
    <t>NEMVEDRAFT_v1g80429</t>
  </si>
  <si>
    <t>816</t>
  </si>
  <si>
    <t>A0A6P8I8G8_ACTTE</t>
  </si>
  <si>
    <t>LOC116299776</t>
  </si>
  <si>
    <t>794</t>
  </si>
  <si>
    <t>A0A6P8JA94_ACTTE</t>
  </si>
  <si>
    <t>Collagen alpha-1(II) chain-like</t>
  </si>
  <si>
    <t>LOC116307612</t>
  </si>
  <si>
    <t>1446</t>
  </si>
  <si>
    <t>A0A6P8HA37_ACTTE</t>
  </si>
  <si>
    <t>Uncharacterized protein LOC116287090</t>
  </si>
  <si>
    <t>LOC116287090</t>
  </si>
  <si>
    <t>140</t>
  </si>
  <si>
    <t>A0A6P8HHT4_ACTTE</t>
  </si>
  <si>
    <t>Uncharacterized protein LOC116292262 isoform X3</t>
  </si>
  <si>
    <t>A0A6P8JEN2_ACTTE</t>
  </si>
  <si>
    <t>Uncharacterized protein LOC116308546</t>
  </si>
  <si>
    <t>LOC116308546</t>
  </si>
  <si>
    <t>226</t>
  </si>
  <si>
    <t>A0A6P8HZZ6_ACTTE</t>
  </si>
  <si>
    <t>Uncharacterized protein LOC116294676</t>
  </si>
  <si>
    <t>LOC116294676</t>
  </si>
  <si>
    <t>2696</t>
  </si>
  <si>
    <t>A0A6S7I928_PARCT</t>
  </si>
  <si>
    <t>PACLA_8A079117</t>
  </si>
  <si>
    <t>101</t>
  </si>
  <si>
    <t>A0A913YE80_EXADI</t>
  </si>
  <si>
    <t>SCP domain-containing protein</t>
  </si>
  <si>
    <t>2163</t>
  </si>
  <si>
    <t>A0A6P8I9T6_ACTTE</t>
  </si>
  <si>
    <t>LOC116299426</t>
  </si>
  <si>
    <t>749</t>
  </si>
  <si>
    <t>Gene Name</t>
  </si>
  <si>
    <t>Entry ID</t>
  </si>
  <si>
    <t>Protein Name</t>
  </si>
  <si>
    <t>Gos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</si>
</sst>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E+00"/>
    <numFmt numFmtId="165" formatCode="0.000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11" fontId="0" fillId="0" borderId="0" xfId="0" applyNumberFormat="1"/>
    <xf numFmtId="164" fontId="0" fillId="0" borderId="0" xfId="0" applyNumberFormat="1"/>
    <xf numFmtId="165" fontId="0" fillId="0" borderId="0" xfId="0" applyNumberFormat="1"/>
    <xf numFmtId="0" fontId="0" fillId="0" borderId="0" xfId="0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hamis\AppData\Local\Temp\c683285f-1770-459e-ba1b-712e19fdd48e_idmapping_2026_04_03%20(1).xlsx.gz.48e\idmapping_2026_04_03%20(1).xlsx" TargetMode="External"/><Relationship Id="rId1" Type="http://schemas.openxmlformats.org/officeDocument/2006/relationships/externalLinkPath" Target="file:///C:\Users\hamis\AppData\Local\Temp\c683285f-1770-459e-ba1b-712e19fdd48e_idmapping_2026_04_03%20(1).xlsx.gz.48e\idmapping_2026_04_03%20(1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0"/>
      <sheetName val="Sheet1"/>
      <sheetName val="idmapping_2026_04_03 (1)"/>
    </sheetNames>
    <sheetDataSet>
      <sheetData sheetId="0"/>
      <sheetData sheetId="1" refreshError="1"/>
      <sheetData sheetId="2" refreshError="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FAE4027-53DB-41D9-A142-65698B62E546}" name="Table1" displayName="Table1" ref="A1:H1048576" totalsRowShown="0">
  <autoFilter ref="A1:H1048576" xr:uid="{DFAE4027-53DB-41D9-A142-65698B62E546}"/>
  <tableColumns count="8">
    <tableColumn id="1" xr3:uid="{0F8025BA-6D5A-423C-A891-553FD7F465E5}" name="From"/>
    <tableColumn id="2" xr3:uid="{56A53E7E-7D67-4837-B0F5-10F0666548A7}" name="Entry"/>
    <tableColumn id="3" xr3:uid="{947C4F19-02F4-48DC-A7B4-1EA74B363BD4}" name="Reviewed"/>
    <tableColumn id="4" xr3:uid="{0CCE9972-4078-4593-B413-4F0B66D4D720}" name="Entry Name"/>
    <tableColumn id="5" xr3:uid="{3AEB4AC4-668D-4C33-B0E1-3E9BBDE61819}" name="Protein names"/>
    <tableColumn id="6" xr3:uid="{7FE6EE35-AEB1-47F5-B489-EEBE5CDFD0FD}" name="Gene Names"/>
    <tableColumn id="7" xr3:uid="{AA20179D-8629-4091-B436-8C8760785CAB}" name="Organism"/>
    <tableColumn id="8" xr3:uid="{7FA1FAC1-1E82-45C0-B351-2301B04510FD}" name="Length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1A1FC9-1EBE-497B-8738-5EEF8A771173}">
  <dimension ref="A1:J224"/>
  <sheetViews>
    <sheetView workbookViewId="0">
      <selection sqref="A1:XFD1048576"/>
    </sheetView>
  </sheetViews>
  <sheetFormatPr defaultRowHeight="15" x14ac:dyDescent="0.25"/>
  <cols>
    <col min="2" max="2" width="35.42578125" bestFit="1" customWidth="1"/>
    <col min="9" max="9" width="13.5703125" bestFit="1" customWidth="1"/>
  </cols>
  <sheetData>
    <row r="1" spans="1:10" x14ac:dyDescent="0.25">
      <c r="A1" t="s">
        <v>0</v>
      </c>
      <c r="B1" t="s">
        <v>1</v>
      </c>
      <c r="C1" t="s">
        <v>1172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1171</v>
      </c>
    </row>
    <row r="2" spans="1:10" x14ac:dyDescent="0.25">
      <c r="A2" t="s">
        <v>7</v>
      </c>
      <c r="B2" t="s">
        <v>8</v>
      </c>
      <c r="C2" t="s">
        <v>9</v>
      </c>
      <c r="D2">
        <v>57.892715972498102</v>
      </c>
      <c r="E2">
        <v>5.7148158392687902</v>
      </c>
      <c r="F2">
        <v>0.69660687141560595</v>
      </c>
      <c r="G2" s="1">
        <v>4.1008241223191298E-17</v>
      </c>
      <c r="H2" s="1">
        <v>1.12046817494126E-12</v>
      </c>
      <c r="I2" t="str">
        <f>VLOOKUP(C2, Table1[[#All],[Entry]:[Length]], 5,FALSE)</f>
        <v>LOC116287521</v>
      </c>
      <c r="J2" t="str">
        <f>IF(C2= "NA", "", VLOOKUP(C2, Table1[[#All],[Entry]:[Length]], 5,FALSE))</f>
        <v>LOC116287521</v>
      </c>
    </row>
    <row r="3" spans="1:10" x14ac:dyDescent="0.25">
      <c r="A3" t="s">
        <v>7</v>
      </c>
      <c r="B3" t="s">
        <v>10</v>
      </c>
      <c r="C3" t="s">
        <v>9</v>
      </c>
      <c r="D3">
        <v>41.383945456517701</v>
      </c>
      <c r="E3">
        <v>4.6967084468393496</v>
      </c>
      <c r="F3">
        <v>0.78464221881671803</v>
      </c>
      <c r="G3" s="1">
        <v>3.4386385816881397E-11</v>
      </c>
      <c r="H3" s="1">
        <v>4.3680646093534002E-7</v>
      </c>
      <c r="I3" t="str">
        <f>VLOOKUP(C3, Table1[[#All],[Entry]:[Length]], 5,FALSE)</f>
        <v>LOC116287521</v>
      </c>
      <c r="J3" t="str">
        <f>IF(C3= "NA", "", VLOOKUP(C3, Table1[[#All],[Entry]:[Length]], 5,FALSE))</f>
        <v>LOC116287521</v>
      </c>
    </row>
    <row r="4" spans="1:10" x14ac:dyDescent="0.25">
      <c r="A4" t="s">
        <v>7</v>
      </c>
      <c r="B4" t="s">
        <v>11</v>
      </c>
      <c r="C4" t="s">
        <v>12</v>
      </c>
      <c r="D4">
        <v>19120.0956142168</v>
      </c>
      <c r="E4">
        <v>-1.2792981872118401</v>
      </c>
      <c r="F4">
        <v>0.20721323176516199</v>
      </c>
      <c r="G4" s="1">
        <v>4.7960303876075797E-11</v>
      </c>
      <c r="H4" s="1">
        <v>4.3680646093534002E-7</v>
      </c>
      <c r="I4" t="str">
        <f>VLOOKUP(C4, Table1[[#All],[Entry]:[Length]], 5,FALSE)</f>
        <v>LOC116286539</v>
      </c>
      <c r="J4" t="str">
        <f>IF(C4= "NA", "", VLOOKUP(C4, Table1[[#All],[Entry]:[Length]], 5,FALSE))</f>
        <v>LOC116286539</v>
      </c>
    </row>
    <row r="5" spans="1:10" x14ac:dyDescent="0.25">
      <c r="A5" t="s">
        <v>7</v>
      </c>
      <c r="B5" t="s">
        <v>13</v>
      </c>
      <c r="C5" t="s">
        <v>14</v>
      </c>
      <c r="D5">
        <v>636.64971324713804</v>
      </c>
      <c r="E5">
        <v>-1.49751345483186</v>
      </c>
      <c r="F5">
        <v>0.28349467725642002</v>
      </c>
      <c r="G5" s="1">
        <v>3.01232594378764E-9</v>
      </c>
      <c r="H5" s="1">
        <v>2.0576445440527401E-5</v>
      </c>
      <c r="I5" t="str">
        <f>VLOOKUP(C5, Table1[[#All],[Entry]:[Length]], 5,FALSE)</f>
        <v>LOC116305468</v>
      </c>
      <c r="J5" t="str">
        <f>IF(C5= "NA", "", VLOOKUP(C5, Table1[[#All],[Entry]:[Length]], 5,FALSE))</f>
        <v>LOC116305468</v>
      </c>
    </row>
    <row r="6" spans="1:10" x14ac:dyDescent="0.25">
      <c r="A6" t="s">
        <v>7</v>
      </c>
      <c r="B6" t="s">
        <v>15</v>
      </c>
      <c r="C6" t="s">
        <v>16</v>
      </c>
      <c r="D6">
        <v>60.212015662733897</v>
      </c>
      <c r="E6">
        <v>-3.0277712218816601</v>
      </c>
      <c r="F6">
        <v>0.95659934935100199</v>
      </c>
      <c r="G6" s="1">
        <v>2.43200024615512E-8</v>
      </c>
      <c r="H6">
        <v>1.1074923787616001E-4</v>
      </c>
      <c r="I6" t="str">
        <f>VLOOKUP(C6, Table1[[#All],[Entry]:[Length]], 5,FALSE)</f>
        <v>LOC116304274</v>
      </c>
      <c r="J6" t="str">
        <f>IF(C6= "NA", "", VLOOKUP(C6, Table1[[#All],[Entry]:[Length]], 5,FALSE))</f>
        <v>LOC116304274</v>
      </c>
    </row>
    <row r="7" spans="1:10" x14ac:dyDescent="0.25">
      <c r="A7" t="s">
        <v>7</v>
      </c>
      <c r="B7" t="s">
        <v>17</v>
      </c>
      <c r="C7" t="s">
        <v>18</v>
      </c>
      <c r="D7">
        <v>17546.716256677599</v>
      </c>
      <c r="E7">
        <v>-1.43741446179411</v>
      </c>
      <c r="F7">
        <v>0.29009194318736198</v>
      </c>
      <c r="G7" s="1">
        <v>2.1190416111412699E-8</v>
      </c>
      <c r="H7">
        <v>1.1074923787616001E-4</v>
      </c>
      <c r="I7" t="str">
        <f>VLOOKUP(C7, Table1[[#All],[Entry]:[Length]], 5,FALSE)</f>
        <v>LOC116296164</v>
      </c>
      <c r="J7" t="str">
        <f>IF(C7= "NA", "", VLOOKUP(C7, Table1[[#All],[Entry]:[Length]], 5,FALSE))</f>
        <v>LOC116296164</v>
      </c>
    </row>
    <row r="8" spans="1:10" x14ac:dyDescent="0.25">
      <c r="A8" t="s">
        <v>7</v>
      </c>
      <c r="B8" t="s">
        <v>19</v>
      </c>
      <c r="C8" t="s">
        <v>20</v>
      </c>
      <c r="D8">
        <v>46.977564827131999</v>
      </c>
      <c r="E8">
        <v>1.83850843430279</v>
      </c>
      <c r="F8">
        <v>0.481569627053891</v>
      </c>
      <c r="G8" s="1">
        <v>1.34636601242527E-7</v>
      </c>
      <c r="H8">
        <v>4.5983448196869402E-4</v>
      </c>
      <c r="I8" t="str">
        <f>VLOOKUP(C8, Table1[[#All],[Entry]:[Length]], 5,FALSE)</f>
        <v/>
      </c>
      <c r="J8" t="str">
        <f>IF(C8= "NA", "", VLOOKUP(C8, Table1[[#All],[Entry]:[Length]], 5,FALSE))</f>
        <v/>
      </c>
    </row>
    <row r="9" spans="1:10" x14ac:dyDescent="0.25">
      <c r="A9" t="s">
        <v>7</v>
      </c>
      <c r="B9" t="s">
        <v>21</v>
      </c>
      <c r="C9" t="s">
        <v>22</v>
      </c>
      <c r="D9">
        <v>286.04975407414003</v>
      </c>
      <c r="E9">
        <v>1.5073110980614199</v>
      </c>
      <c r="F9">
        <v>0.33865520153353601</v>
      </c>
      <c r="G9" s="1">
        <v>1.29121318130069E-7</v>
      </c>
      <c r="H9">
        <v>4.5983448196869402E-4</v>
      </c>
      <c r="I9" t="str">
        <f>VLOOKUP(C9, Table1[[#All],[Entry]:[Length]], 5,FALSE)</f>
        <v/>
      </c>
      <c r="J9" t="str">
        <f>IF(C9= "NA", "", VLOOKUP(C9, Table1[[#All],[Entry]:[Length]], 5,FALSE))</f>
        <v/>
      </c>
    </row>
    <row r="10" spans="1:10" x14ac:dyDescent="0.25">
      <c r="A10" t="s">
        <v>7</v>
      </c>
      <c r="B10" t="s">
        <v>23</v>
      </c>
      <c r="C10" t="s">
        <v>24</v>
      </c>
      <c r="D10">
        <v>38.2666274513602</v>
      </c>
      <c r="E10">
        <v>-1.84895183106884</v>
      </c>
      <c r="F10">
        <v>0.51633916141264302</v>
      </c>
      <c r="G10" s="1">
        <v>2.2473394036809201E-7</v>
      </c>
      <c r="H10">
        <v>6.1936354889280095E-4</v>
      </c>
      <c r="I10" t="str">
        <f>VLOOKUP(C10, Table1[[#All],[Entry]:[Length]], 5,FALSE)</f>
        <v>LOC116298417</v>
      </c>
      <c r="J10" t="str">
        <f>IF(C10= "NA", "", VLOOKUP(C10, Table1[[#All],[Entry]:[Length]], 5,FALSE))</f>
        <v>LOC116298417</v>
      </c>
    </row>
    <row r="11" spans="1:10" x14ac:dyDescent="0.25">
      <c r="A11" t="s">
        <v>7</v>
      </c>
      <c r="B11" t="s">
        <v>25</v>
      </c>
      <c r="C11" t="s">
        <v>26</v>
      </c>
      <c r="D11">
        <v>1406.36035182457</v>
      </c>
      <c r="E11">
        <v>1.5962957118832799</v>
      </c>
      <c r="F11">
        <v>0.385157120305194</v>
      </c>
      <c r="G11" s="1">
        <v>2.2668211722461E-7</v>
      </c>
      <c r="H11">
        <v>6.1936354889280095E-4</v>
      </c>
      <c r="I11" t="str">
        <f>VLOOKUP(C11, Table1[[#All],[Entry]:[Length]], 5,FALSE)</f>
        <v>LOC116298580</v>
      </c>
      <c r="J11" t="str">
        <f>IF(C11= "NA", "", VLOOKUP(C11, Table1[[#All],[Entry]:[Length]], 5,FALSE))</f>
        <v>LOC116298580</v>
      </c>
    </row>
    <row r="12" spans="1:10" x14ac:dyDescent="0.25">
      <c r="A12" t="s">
        <v>7</v>
      </c>
      <c r="B12" t="s">
        <v>27</v>
      </c>
      <c r="C12" t="s">
        <v>28</v>
      </c>
      <c r="D12">
        <v>17.927689546716302</v>
      </c>
      <c r="E12">
        <v>2.72154973595002</v>
      </c>
      <c r="F12">
        <v>1.20665941472972</v>
      </c>
      <c r="G12" s="1">
        <v>3.5117751332201797E-7</v>
      </c>
      <c r="H12">
        <v>8.6007012158984095E-4</v>
      </c>
      <c r="I12" t="str">
        <f>VLOOKUP(C12, Table1[[#All],[Entry]:[Length]], 5,FALSE)</f>
        <v>LOC116290663</v>
      </c>
      <c r="J12" t="str">
        <f>IF(C12= "NA", "", VLOOKUP(C12, Table1[[#All],[Entry]:[Length]], 5,FALSE))</f>
        <v>LOC116290663</v>
      </c>
    </row>
    <row r="13" spans="1:10" x14ac:dyDescent="0.25">
      <c r="A13" t="s">
        <v>7</v>
      </c>
      <c r="B13" t="s">
        <v>29</v>
      </c>
      <c r="C13" t="s">
        <v>30</v>
      </c>
      <c r="D13">
        <v>876.04214446315598</v>
      </c>
      <c r="E13">
        <v>1.3680059564283</v>
      </c>
      <c r="F13">
        <v>0.31587912574886101</v>
      </c>
      <c r="G13" s="1">
        <v>3.7773456278878902E-7</v>
      </c>
      <c r="H13">
        <v>8.6007012158984095E-4</v>
      </c>
      <c r="I13" t="str">
        <f>VLOOKUP(C13, Table1[[#All],[Entry]:[Length]], 5,FALSE)</f>
        <v>LOC116289884</v>
      </c>
      <c r="J13" t="str">
        <f>IF(C13= "NA", "", VLOOKUP(C13, Table1[[#All],[Entry]:[Length]], 5,FALSE))</f>
        <v>LOC116289884</v>
      </c>
    </row>
    <row r="14" spans="1:10" x14ac:dyDescent="0.25">
      <c r="A14" t="s">
        <v>7</v>
      </c>
      <c r="B14" t="s">
        <v>31</v>
      </c>
      <c r="C14" t="s">
        <v>32</v>
      </c>
      <c r="D14">
        <v>909.30514464427404</v>
      </c>
      <c r="E14">
        <v>-1.3723228359845601</v>
      </c>
      <c r="F14">
        <v>0.32215234537320098</v>
      </c>
      <c r="G14" s="1">
        <v>4.6543280073916902E-7</v>
      </c>
      <c r="H14">
        <v>9.7823233958433189E-4</v>
      </c>
      <c r="I14" t="str">
        <f>VLOOKUP(C14, Table1[[#All],[Entry]:[Length]], 5,FALSE)</f>
        <v>LOC116304867</v>
      </c>
      <c r="J14" t="str">
        <f>IF(C14= "NA", "", VLOOKUP(C14, Table1[[#All],[Entry]:[Length]], 5,FALSE))</f>
        <v>LOC116304867</v>
      </c>
    </row>
    <row r="15" spans="1:10" x14ac:dyDescent="0.25">
      <c r="A15" t="s">
        <v>7</v>
      </c>
      <c r="B15" t="s">
        <v>33</v>
      </c>
      <c r="C15" t="s">
        <v>34</v>
      </c>
      <c r="D15">
        <v>526.74639278969698</v>
      </c>
      <c r="E15">
        <v>-1.0280875978398101</v>
      </c>
      <c r="F15">
        <v>0.22980324753860101</v>
      </c>
      <c r="G15" s="1">
        <v>8.4014432261786295E-7</v>
      </c>
      <c r="H15">
        <v>1.63966166620628E-3</v>
      </c>
      <c r="I15" t="str">
        <f>VLOOKUP(C15, Table1[[#All],[Entry]:[Length]], 5,FALSE)</f>
        <v>LOC116297048</v>
      </c>
      <c r="J15" t="str">
        <f>IF(C15= "NA", "", VLOOKUP(C15, Table1[[#All],[Entry]:[Length]], 5,FALSE))</f>
        <v>LOC116297048</v>
      </c>
    </row>
    <row r="16" spans="1:10" x14ac:dyDescent="0.25">
      <c r="A16" t="s">
        <v>7</v>
      </c>
      <c r="B16" t="s">
        <v>35</v>
      </c>
      <c r="C16" t="s">
        <v>36</v>
      </c>
      <c r="D16">
        <v>829.47834451391395</v>
      </c>
      <c r="E16">
        <v>1.52064753346253</v>
      </c>
      <c r="F16">
        <v>0.41835859348222298</v>
      </c>
      <c r="G16" s="1">
        <v>1.13489383996057E-6</v>
      </c>
      <c r="H16">
        <v>2.0040615354894602E-3</v>
      </c>
      <c r="I16" t="str">
        <f>VLOOKUP(C16, Table1[[#All],[Entry]:[Length]], 5,FALSE)</f>
        <v>LOC116297351</v>
      </c>
      <c r="J16" t="str">
        <f>IF(C16= "NA", "", VLOOKUP(C16, Table1[[#All],[Entry]:[Length]], 5,FALSE))</f>
        <v>LOC116297351</v>
      </c>
    </row>
    <row r="17" spans="1:10" x14ac:dyDescent="0.25">
      <c r="A17" t="s">
        <v>7</v>
      </c>
      <c r="B17" t="s">
        <v>37</v>
      </c>
      <c r="C17" t="s">
        <v>38</v>
      </c>
      <c r="D17">
        <v>504.36906180821802</v>
      </c>
      <c r="E17">
        <v>1.0120332945414301</v>
      </c>
      <c r="F17">
        <v>0.230714244001853</v>
      </c>
      <c r="G17" s="1">
        <v>1.1735528517304601E-6</v>
      </c>
      <c r="H17">
        <v>2.0040615354894602E-3</v>
      </c>
      <c r="I17" t="str">
        <f>VLOOKUP(C17, Table1[[#All],[Entry]:[Length]], 5,FALSE)</f>
        <v/>
      </c>
      <c r="J17" t="str">
        <f>IF(C17= "NA", "", VLOOKUP(C17, Table1[[#All],[Entry]:[Length]], 5,FALSE))</f>
        <v/>
      </c>
    </row>
    <row r="18" spans="1:10" x14ac:dyDescent="0.25">
      <c r="A18" t="s">
        <v>7</v>
      </c>
      <c r="B18" t="s">
        <v>39</v>
      </c>
      <c r="C18" t="s">
        <v>40</v>
      </c>
      <c r="D18">
        <v>739.78975715156605</v>
      </c>
      <c r="E18">
        <v>-1.39352042555331</v>
      </c>
      <c r="F18">
        <v>0.38030042354175397</v>
      </c>
      <c r="G18" s="1">
        <v>1.8659067319998201E-6</v>
      </c>
      <c r="H18">
        <v>2.9989511552018298E-3</v>
      </c>
      <c r="I18" t="str">
        <f>VLOOKUP(C18, Table1[[#All],[Entry]:[Length]], 5,FALSE)</f>
        <v>LOC116291011</v>
      </c>
      <c r="J18" t="str">
        <f>IF(C18= "NA", "", VLOOKUP(C18, Table1[[#All],[Entry]:[Length]], 5,FALSE))</f>
        <v>LOC116291011</v>
      </c>
    </row>
    <row r="19" spans="1:10" x14ac:dyDescent="0.25">
      <c r="A19" t="s">
        <v>7</v>
      </c>
      <c r="B19" t="s">
        <v>41</v>
      </c>
      <c r="C19" t="s">
        <v>42</v>
      </c>
      <c r="D19">
        <v>301.727982069017</v>
      </c>
      <c r="E19">
        <v>1.52996557772784</v>
      </c>
      <c r="F19">
        <v>0.48643327457660701</v>
      </c>
      <c r="G19" s="1">
        <v>2.4120612707820499E-6</v>
      </c>
      <c r="H19">
        <v>3.66137500564322E-3</v>
      </c>
      <c r="I19" t="str">
        <f>VLOOKUP(C19, Table1[[#All],[Entry]:[Length]], 5,FALSE)</f>
        <v>LOC116307630</v>
      </c>
      <c r="J19" t="str">
        <f>IF(C19= "NA", "", VLOOKUP(C19, Table1[[#All],[Entry]:[Length]], 5,FALSE))</f>
        <v>LOC116307630</v>
      </c>
    </row>
    <row r="20" spans="1:10" x14ac:dyDescent="0.25">
      <c r="A20" t="s">
        <v>7</v>
      </c>
      <c r="B20" t="s">
        <v>43</v>
      </c>
      <c r="C20" t="s">
        <v>42</v>
      </c>
      <c r="D20">
        <v>327.43111420146698</v>
      </c>
      <c r="E20">
        <v>1.4827423666973201</v>
      </c>
      <c r="F20">
        <v>0.49497962331553802</v>
      </c>
      <c r="G20" s="1">
        <v>3.61104536256206E-6</v>
      </c>
      <c r="H20">
        <v>5.0679984294129902E-3</v>
      </c>
      <c r="I20" t="str">
        <f>VLOOKUP(C20, Table1[[#All],[Entry]:[Length]], 5,FALSE)</f>
        <v>LOC116307630</v>
      </c>
      <c r="J20" t="str">
        <f>IF(C20= "NA", "", VLOOKUP(C20, Table1[[#All],[Entry]:[Length]], 5,FALSE))</f>
        <v>LOC116307630</v>
      </c>
    </row>
    <row r="21" spans="1:10" x14ac:dyDescent="0.25">
      <c r="A21" t="s">
        <v>7</v>
      </c>
      <c r="B21" t="s">
        <v>44</v>
      </c>
      <c r="C21" t="s">
        <v>45</v>
      </c>
      <c r="D21">
        <v>156.12698904220699</v>
      </c>
      <c r="E21">
        <v>0.97258723651627399</v>
      </c>
      <c r="F21">
        <v>0.24317118456610901</v>
      </c>
      <c r="G21" s="1">
        <v>3.7096939790015701E-6</v>
      </c>
      <c r="H21">
        <v>5.0679984294129902E-3</v>
      </c>
      <c r="I21" t="str">
        <f>VLOOKUP(C21, Table1[[#All],[Entry]:[Length]], 5,FALSE)</f>
        <v>LOC116290330</v>
      </c>
      <c r="J21" t="str">
        <f>IF(C21= "NA", "", VLOOKUP(C21, Table1[[#All],[Entry]:[Length]], 5,FALSE))</f>
        <v>LOC116290330</v>
      </c>
    </row>
    <row r="22" spans="1:10" x14ac:dyDescent="0.25">
      <c r="A22" t="s">
        <v>7</v>
      </c>
      <c r="B22" t="s">
        <v>46</v>
      </c>
      <c r="C22" t="s">
        <v>47</v>
      </c>
      <c r="D22">
        <v>25.189608398287199</v>
      </c>
      <c r="E22">
        <v>1.5792851569573401</v>
      </c>
      <c r="F22">
        <v>0.73578535968390002</v>
      </c>
      <c r="G22" s="1">
        <v>4.8937116472588099E-6</v>
      </c>
      <c r="H22">
        <v>6.36718492085964E-3</v>
      </c>
      <c r="I22" t="str">
        <f>VLOOKUP(C22, Table1[[#All],[Entry]:[Length]], 5,FALSE)</f>
        <v>LOC116303633</v>
      </c>
      <c r="J22" t="str">
        <f>IF(C22= "NA", "", VLOOKUP(C22, Table1[[#All],[Entry]:[Length]], 5,FALSE))</f>
        <v>LOC116303633</v>
      </c>
    </row>
    <row r="23" spans="1:10" x14ac:dyDescent="0.25">
      <c r="A23" t="s">
        <v>7</v>
      </c>
      <c r="B23" t="s">
        <v>48</v>
      </c>
      <c r="C23" t="s">
        <v>49</v>
      </c>
      <c r="D23">
        <v>488.70964169723902</v>
      </c>
      <c r="E23">
        <v>-1.0221267739072</v>
      </c>
      <c r="F23">
        <v>0.27274921380815997</v>
      </c>
      <c r="G23" s="1">
        <v>5.5873117793993196E-6</v>
      </c>
      <c r="H23">
        <v>6.9391872612967198E-3</v>
      </c>
      <c r="I23" t="str">
        <f>VLOOKUP(C23, Table1[[#All],[Entry]:[Length]], 5,FALSE)</f>
        <v>LOC116294921</v>
      </c>
      <c r="J23" t="str">
        <f>IF(C23= "NA", "", VLOOKUP(C23, Table1[[#All],[Entry]:[Length]], 5,FALSE))</f>
        <v>LOC116294921</v>
      </c>
    </row>
    <row r="24" spans="1:10" x14ac:dyDescent="0.25">
      <c r="A24" t="s">
        <v>7</v>
      </c>
      <c r="B24" t="s">
        <v>50</v>
      </c>
      <c r="C24" t="s">
        <v>51</v>
      </c>
      <c r="D24">
        <v>54.112149552004603</v>
      </c>
      <c r="E24">
        <v>-1.52153603306789</v>
      </c>
      <c r="F24">
        <v>0.72248923923293795</v>
      </c>
      <c r="G24" s="1">
        <v>6.3582574905397399E-6</v>
      </c>
      <c r="H24">
        <v>7.2386112255840599E-3</v>
      </c>
      <c r="I24" t="str">
        <f>VLOOKUP(C24, Table1[[#All],[Entry]:[Length]], 5,FALSE)</f>
        <v>LOC116290329</v>
      </c>
      <c r="J24" t="str">
        <f>IF(C24= "NA", "", VLOOKUP(C24, Table1[[#All],[Entry]:[Length]], 5,FALSE))</f>
        <v>LOC116290329</v>
      </c>
    </row>
    <row r="25" spans="1:10" x14ac:dyDescent="0.25">
      <c r="A25" t="s">
        <v>7</v>
      </c>
      <c r="B25" t="s">
        <v>52</v>
      </c>
      <c r="C25" t="s">
        <v>53</v>
      </c>
      <c r="D25">
        <v>395.04422213376</v>
      </c>
      <c r="E25">
        <v>-1.3083948962354399</v>
      </c>
      <c r="F25">
        <v>0.41747441327711698</v>
      </c>
      <c r="G25" s="1">
        <v>6.2018579224634104E-6</v>
      </c>
      <c r="H25">
        <v>7.2386112255840599E-3</v>
      </c>
      <c r="I25" t="str">
        <f>VLOOKUP(C25, Table1[[#All],[Entry]:[Length]], 5,FALSE)</f>
        <v>LOC116287407</v>
      </c>
      <c r="J25" t="str">
        <f>IF(C25= "NA", "", VLOOKUP(C25, Table1[[#All],[Entry]:[Length]], 5,FALSE))</f>
        <v>LOC116287407</v>
      </c>
    </row>
    <row r="26" spans="1:10" x14ac:dyDescent="0.25">
      <c r="A26" t="s">
        <v>7</v>
      </c>
      <c r="B26" t="s">
        <v>54</v>
      </c>
      <c r="C26" t="s">
        <v>55</v>
      </c>
      <c r="D26">
        <v>308.54355454776902</v>
      </c>
      <c r="E26">
        <v>-1.43884524540782</v>
      </c>
      <c r="F26">
        <v>0.56738048821067799</v>
      </c>
      <c r="G26" s="1">
        <v>7.0138554922338004E-6</v>
      </c>
      <c r="H26">
        <v>7.5020983920517301E-3</v>
      </c>
      <c r="I26" t="str">
        <f>VLOOKUP(C26, Table1[[#All],[Entry]:[Length]], 5,FALSE)</f>
        <v>LOC116303300</v>
      </c>
      <c r="J26" t="str">
        <f>IF(C26= "NA", "", VLOOKUP(C26, Table1[[#All],[Entry]:[Length]], 5,FALSE))</f>
        <v>LOC116303300</v>
      </c>
    </row>
    <row r="27" spans="1:10" x14ac:dyDescent="0.25">
      <c r="A27" t="s">
        <v>7</v>
      </c>
      <c r="B27" t="s">
        <v>56</v>
      </c>
      <c r="C27" t="s">
        <v>57</v>
      </c>
      <c r="D27">
        <v>61.5101170559983</v>
      </c>
      <c r="E27">
        <v>-1.31236553826817</v>
      </c>
      <c r="F27">
        <v>0.44609751344010101</v>
      </c>
      <c r="G27" s="1">
        <v>7.8444797349146994E-6</v>
      </c>
      <c r="H27">
        <v>7.5020983920517301E-3</v>
      </c>
      <c r="I27" t="str">
        <f>VLOOKUP(C27, Table1[[#All],[Entry]:[Length]], 5,FALSE)</f>
        <v>LOC116302322</v>
      </c>
      <c r="J27" t="str">
        <f>IF(C27= "NA", "", VLOOKUP(C27, Table1[[#All],[Entry]:[Length]], 5,FALSE))</f>
        <v>LOC116302322</v>
      </c>
    </row>
    <row r="28" spans="1:10" x14ac:dyDescent="0.25">
      <c r="A28" t="s">
        <v>7</v>
      </c>
      <c r="B28" t="s">
        <v>58</v>
      </c>
      <c r="C28" t="s">
        <v>59</v>
      </c>
      <c r="D28">
        <v>254.51777454153401</v>
      </c>
      <c r="E28">
        <v>-1.2835418724982599</v>
      </c>
      <c r="F28">
        <v>0.42442115918001899</v>
      </c>
      <c r="G28" s="1">
        <v>7.8910254239956499E-6</v>
      </c>
      <c r="H28">
        <v>7.5020983920517301E-3</v>
      </c>
      <c r="I28" t="str">
        <f>VLOOKUP(C28, Table1[[#All],[Entry]:[Length]], 5,FALSE)</f>
        <v>LOC116304869</v>
      </c>
      <c r="J28" t="str">
        <f>IF(C28= "NA", "", VLOOKUP(C28, Table1[[#All],[Entry]:[Length]], 5,FALSE))</f>
        <v>LOC116304869</v>
      </c>
    </row>
    <row r="29" spans="1:10" x14ac:dyDescent="0.25">
      <c r="A29" t="s">
        <v>7</v>
      </c>
      <c r="B29" t="s">
        <v>60</v>
      </c>
      <c r="C29" t="s">
        <v>61</v>
      </c>
      <c r="D29">
        <v>595.66496627539198</v>
      </c>
      <c r="E29">
        <v>-0.96665834985107901</v>
      </c>
      <c r="F29">
        <v>0.26737047181451101</v>
      </c>
      <c r="G29" s="1">
        <v>8.2199628028805996E-6</v>
      </c>
      <c r="H29">
        <v>7.5020983920517301E-3</v>
      </c>
      <c r="I29" t="str">
        <f>VLOOKUP(C29, Table1[[#All],[Entry]:[Length]], 5,FALSE)</f>
        <v>LOC116287833</v>
      </c>
      <c r="J29" t="str">
        <f>IF(C29= "NA", "", VLOOKUP(C29, Table1[[#All],[Entry]:[Length]], 5,FALSE))</f>
        <v>LOC116287833</v>
      </c>
    </row>
    <row r="30" spans="1:10" x14ac:dyDescent="0.25">
      <c r="A30" t="s">
        <v>7</v>
      </c>
      <c r="B30" t="s">
        <v>62</v>
      </c>
      <c r="C30" t="s">
        <v>63</v>
      </c>
      <c r="D30">
        <v>152.36966489807199</v>
      </c>
      <c r="E30">
        <v>0.88920297623746603</v>
      </c>
      <c r="F30">
        <v>0.240020719625514</v>
      </c>
      <c r="G30" s="1">
        <v>8.2371244651594595E-6</v>
      </c>
      <c r="H30">
        <v>7.5020983920517301E-3</v>
      </c>
      <c r="I30" t="str">
        <f>VLOOKUP(C30, Table1[[#All],[Entry]:[Length]], 5,FALSE)</f>
        <v>LOC116296292</v>
      </c>
      <c r="J30" t="str">
        <f>IF(C30= "NA", "", VLOOKUP(C30, Table1[[#All],[Entry]:[Length]], 5,FALSE))</f>
        <v>LOC116296292</v>
      </c>
    </row>
    <row r="31" spans="1:10" x14ac:dyDescent="0.25">
      <c r="A31" t="s">
        <v>7</v>
      </c>
      <c r="B31" t="s">
        <v>64</v>
      </c>
      <c r="C31" t="s">
        <v>65</v>
      </c>
      <c r="D31">
        <v>356.65625414533702</v>
      </c>
      <c r="E31">
        <v>-0.77982878376180997</v>
      </c>
      <c r="F31">
        <v>0.20133168437368101</v>
      </c>
      <c r="G31" s="1">
        <v>7.1399245368781903E-6</v>
      </c>
      <c r="H31">
        <v>7.5020983920517301E-3</v>
      </c>
      <c r="I31" t="str">
        <f>VLOOKUP(C31, Table1[[#All],[Entry]:[Length]], 5,FALSE)</f>
        <v>LOC116302515</v>
      </c>
      <c r="J31" t="str">
        <f>IF(C31= "NA", "", VLOOKUP(C31, Table1[[#All],[Entry]:[Length]], 5,FALSE))</f>
        <v>LOC116302515</v>
      </c>
    </row>
    <row r="32" spans="1:10" x14ac:dyDescent="0.25">
      <c r="A32" t="s">
        <v>7</v>
      </c>
      <c r="B32" t="s">
        <v>66</v>
      </c>
      <c r="C32" t="s">
        <v>67</v>
      </c>
      <c r="D32">
        <v>5354.77166668274</v>
      </c>
      <c r="E32">
        <v>1.24050611499618</v>
      </c>
      <c r="F32">
        <v>0.40879932617770798</v>
      </c>
      <c r="G32" s="1">
        <v>9.1125711341802007E-6</v>
      </c>
      <c r="H32">
        <v>8.0317026161033991E-3</v>
      </c>
      <c r="I32" t="str">
        <f>VLOOKUP(C32, Table1[[#All],[Entry]:[Length]], 5,FALSE)</f>
        <v>LOC116289868</v>
      </c>
      <c r="J32" t="str">
        <f>IF(C32= "NA", "", VLOOKUP(C32, Table1[[#All],[Entry]:[Length]], 5,FALSE))</f>
        <v>LOC116289868</v>
      </c>
    </row>
    <row r="33" spans="1:10" x14ac:dyDescent="0.25">
      <c r="A33" t="s">
        <v>7</v>
      </c>
      <c r="B33" t="s">
        <v>68</v>
      </c>
      <c r="C33" t="s">
        <v>69</v>
      </c>
      <c r="D33">
        <v>37.917201825891503</v>
      </c>
      <c r="E33">
        <v>1.2442929320763001</v>
      </c>
      <c r="F33">
        <v>0.426764261289859</v>
      </c>
      <c r="G33" s="1">
        <v>1.0468599782474001E-5</v>
      </c>
      <c r="H33">
        <v>8.9385484955167901E-3</v>
      </c>
      <c r="I33" t="str">
        <f>VLOOKUP(C33, Table1[[#All],[Entry]:[Length]], 5,FALSE)</f>
        <v>LOC116296003</v>
      </c>
      <c r="J33" t="str">
        <f>IF(C33= "NA", "", VLOOKUP(C33, Table1[[#All],[Entry]:[Length]], 5,FALSE))</f>
        <v>LOC116296003</v>
      </c>
    </row>
    <row r="34" spans="1:10" x14ac:dyDescent="0.25">
      <c r="A34" t="s">
        <v>7</v>
      </c>
      <c r="B34" t="s">
        <v>70</v>
      </c>
      <c r="C34" t="s">
        <v>71</v>
      </c>
      <c r="D34">
        <v>142.25426690691401</v>
      </c>
      <c r="E34">
        <v>1.1762439294454199</v>
      </c>
      <c r="F34">
        <v>0.39383833374496902</v>
      </c>
      <c r="G34" s="1">
        <v>1.2115701058885399E-5</v>
      </c>
      <c r="H34">
        <v>1.00314333343008E-2</v>
      </c>
      <c r="I34" t="str">
        <f>VLOOKUP(C34, Table1[[#All],[Entry]:[Length]], 5,FALSE)</f>
        <v>LOC116293477</v>
      </c>
      <c r="J34" t="str">
        <f>IF(C34= "NA", "", VLOOKUP(C34, Table1[[#All],[Entry]:[Length]], 5,FALSE))</f>
        <v>LOC116293477</v>
      </c>
    </row>
    <row r="35" spans="1:10" x14ac:dyDescent="0.25">
      <c r="A35" t="s">
        <v>7</v>
      </c>
      <c r="B35" t="s">
        <v>72</v>
      </c>
      <c r="C35" t="s">
        <v>73</v>
      </c>
      <c r="D35">
        <v>208.85228243126801</v>
      </c>
      <c r="E35">
        <v>-0.73969249642707202</v>
      </c>
      <c r="F35">
        <v>0.21157937653193601</v>
      </c>
      <c r="G35" s="1">
        <v>1.5019835128017601E-5</v>
      </c>
      <c r="H35">
        <v>1.2070204564789E-2</v>
      </c>
      <c r="I35" t="str">
        <f>VLOOKUP(C35, Table1[[#All],[Entry]:[Length]], 5,FALSE)</f>
        <v>LOC116295847</v>
      </c>
      <c r="J35" t="str">
        <f>IF(C35= "NA", "", VLOOKUP(C35, Table1[[#All],[Entry]:[Length]], 5,FALSE))</f>
        <v>LOC116295847</v>
      </c>
    </row>
    <row r="36" spans="1:10" x14ac:dyDescent="0.25">
      <c r="A36" t="s">
        <v>7</v>
      </c>
      <c r="B36" t="s">
        <v>74</v>
      </c>
      <c r="C36" t="s">
        <v>75</v>
      </c>
      <c r="D36">
        <v>533.99172123270296</v>
      </c>
      <c r="E36">
        <v>0.84705000684211595</v>
      </c>
      <c r="F36">
        <v>0.25051889655413601</v>
      </c>
      <c r="G36" s="1">
        <v>1.5578803699506702E-5</v>
      </c>
      <c r="H36">
        <v>1.2161704385189201E-2</v>
      </c>
      <c r="I36" t="str">
        <f>VLOOKUP(C36, Table1[[#All],[Entry]:[Length]], 5,FALSE)</f>
        <v>LOC116297422</v>
      </c>
      <c r="J36" t="str">
        <f>IF(C36= "NA", "", VLOOKUP(C36, Table1[[#All],[Entry]:[Length]], 5,FALSE))</f>
        <v>LOC116297422</v>
      </c>
    </row>
    <row r="37" spans="1:10" x14ac:dyDescent="0.25">
      <c r="A37" t="s">
        <v>7</v>
      </c>
      <c r="B37" t="s">
        <v>76</v>
      </c>
      <c r="C37" t="s">
        <v>77</v>
      </c>
      <c r="D37">
        <v>445.98502842921198</v>
      </c>
      <c r="E37">
        <v>0.89555128247285798</v>
      </c>
      <c r="F37">
        <v>0.27086672385553001</v>
      </c>
      <c r="G37" s="1">
        <v>1.6053490379542701E-5</v>
      </c>
      <c r="H37">
        <v>1.21841532677846E-2</v>
      </c>
      <c r="I37" t="str">
        <f>VLOOKUP(C37, Table1[[#All],[Entry]:[Length]], 5,FALSE)</f>
        <v>LOC116300558</v>
      </c>
      <c r="J37" t="str">
        <f>IF(C37= "NA", "", VLOOKUP(C37, Table1[[#All],[Entry]:[Length]], 5,FALSE))</f>
        <v>LOC116300558</v>
      </c>
    </row>
    <row r="38" spans="1:10" x14ac:dyDescent="0.25">
      <c r="A38" t="s">
        <v>7</v>
      </c>
      <c r="B38" t="s">
        <v>78</v>
      </c>
      <c r="C38" t="s">
        <v>79</v>
      </c>
      <c r="D38">
        <v>1044.46226936683</v>
      </c>
      <c r="E38">
        <v>-1.1404074055985001</v>
      </c>
      <c r="F38">
        <v>0.40375547499290498</v>
      </c>
      <c r="G38" s="1">
        <v>1.6755319169578101E-5</v>
      </c>
      <c r="H38">
        <v>1.23731239370373E-2</v>
      </c>
      <c r="I38" t="str">
        <f>VLOOKUP(C38, Table1[[#All],[Entry]:[Length]], 5,FALSE)</f>
        <v>LOC116308307</v>
      </c>
      <c r="J38" t="str">
        <f>IF(C38= "NA", "", VLOOKUP(C38, Table1[[#All],[Entry]:[Length]], 5,FALSE))</f>
        <v>LOC116308307</v>
      </c>
    </row>
    <row r="39" spans="1:10" x14ac:dyDescent="0.25">
      <c r="A39" t="s">
        <v>7</v>
      </c>
      <c r="B39" t="s">
        <v>80</v>
      </c>
      <c r="C39" t="s">
        <v>81</v>
      </c>
      <c r="D39">
        <v>5671.45617331842</v>
      </c>
      <c r="E39">
        <v>-1.1217847336239499</v>
      </c>
      <c r="F39">
        <v>0.40959864846798999</v>
      </c>
      <c r="G39" s="1">
        <v>1.9748996209735999E-5</v>
      </c>
      <c r="H39">
        <v>1.36780053176331E-2</v>
      </c>
      <c r="I39" t="str">
        <f>VLOOKUP(C39, Table1[[#All],[Entry]:[Length]], 5,FALSE)</f>
        <v>LOC116301420</v>
      </c>
      <c r="J39" t="str">
        <f>IF(C39= "NA", "", VLOOKUP(C39, Table1[[#All],[Entry]:[Length]], 5,FALSE))</f>
        <v>LOC116301420</v>
      </c>
    </row>
    <row r="40" spans="1:10" x14ac:dyDescent="0.25">
      <c r="A40" t="s">
        <v>7</v>
      </c>
      <c r="B40" t="s">
        <v>82</v>
      </c>
      <c r="C40" t="s">
        <v>83</v>
      </c>
      <c r="D40">
        <v>58.651542915247198</v>
      </c>
      <c r="E40">
        <v>1.07197614643995</v>
      </c>
      <c r="F40">
        <v>0.37607234993204203</v>
      </c>
      <c r="G40" s="1">
        <v>2.0024163258255801E-5</v>
      </c>
      <c r="H40">
        <v>1.36780053176331E-2</v>
      </c>
      <c r="I40" t="e">
        <f>VLOOKUP(C40, Table1[[#All],[Entry]:[Length]], 5,FALSE)</f>
        <v>#N/A</v>
      </c>
      <c r="J40" t="str">
        <f>IF(C40= "NA", "", VLOOKUP(C40, Table1[[#All],[Entry]:[Length]], 5,FALSE))</f>
        <v/>
      </c>
    </row>
    <row r="41" spans="1:10" x14ac:dyDescent="0.25">
      <c r="A41" t="s">
        <v>7</v>
      </c>
      <c r="B41" t="s">
        <v>84</v>
      </c>
      <c r="C41" t="s">
        <v>85</v>
      </c>
      <c r="D41">
        <v>2246.40328840047</v>
      </c>
      <c r="E41">
        <v>-0.90962649904898996</v>
      </c>
      <c r="F41">
        <v>0.288326789749351</v>
      </c>
      <c r="G41" s="1">
        <v>1.9641267788953302E-5</v>
      </c>
      <c r="H41">
        <v>1.36780053176331E-2</v>
      </c>
      <c r="I41" t="str">
        <f>VLOOKUP(C41, Table1[[#All],[Entry]:[Length]], 5,FALSE)</f>
        <v>LOC116288027</v>
      </c>
      <c r="J41" t="str">
        <f>IF(C41= "NA", "", VLOOKUP(C41, Table1[[#All],[Entry]:[Length]], 5,FALSE))</f>
        <v>LOC116288027</v>
      </c>
    </row>
    <row r="42" spans="1:10" x14ac:dyDescent="0.25">
      <c r="A42" t="s">
        <v>7</v>
      </c>
      <c r="B42" t="s">
        <v>86</v>
      </c>
      <c r="C42" t="s">
        <v>87</v>
      </c>
      <c r="D42">
        <v>46.2344665078354</v>
      </c>
      <c r="E42">
        <v>-1.07888737299716</v>
      </c>
      <c r="F42">
        <v>0.40745962158032001</v>
      </c>
      <c r="G42" s="1">
        <v>2.5170831556627401E-5</v>
      </c>
      <c r="H42">
        <v>1.6774210502969001E-2</v>
      </c>
      <c r="I42" t="str">
        <f>VLOOKUP(C42, Table1[[#All],[Entry]:[Length]], 5,FALSE)</f>
        <v/>
      </c>
      <c r="J42" t="str">
        <f>IF(C42= "NA", "", VLOOKUP(C42, Table1[[#All],[Entry]:[Length]], 5,FALSE))</f>
        <v/>
      </c>
    </row>
    <row r="43" spans="1:10" x14ac:dyDescent="0.25">
      <c r="A43" t="s">
        <v>7</v>
      </c>
      <c r="B43" t="s">
        <v>88</v>
      </c>
      <c r="C43" t="s">
        <v>89</v>
      </c>
      <c r="D43">
        <v>906.191536675159</v>
      </c>
      <c r="E43">
        <v>-0.912412330993284</v>
      </c>
      <c r="F43">
        <v>0.30884798924086498</v>
      </c>
      <c r="G43" s="1">
        <v>2.6018035443079899E-5</v>
      </c>
      <c r="H43">
        <v>1.69259710097922E-2</v>
      </c>
      <c r="I43" t="str">
        <f>VLOOKUP(C43, Table1[[#All],[Entry]:[Length]], 5,FALSE)</f>
        <v>LOC116287404</v>
      </c>
      <c r="J43" t="str">
        <f>IF(C43= "NA", "", VLOOKUP(C43, Table1[[#All],[Entry]:[Length]], 5,FALSE))</f>
        <v>LOC116287404</v>
      </c>
    </row>
    <row r="44" spans="1:10" x14ac:dyDescent="0.25">
      <c r="A44" t="s">
        <v>7</v>
      </c>
      <c r="B44" t="s">
        <v>90</v>
      </c>
      <c r="C44" t="s">
        <v>91</v>
      </c>
      <c r="D44">
        <v>52.805046984538102</v>
      </c>
      <c r="E44">
        <v>-1.0999607550775301</v>
      </c>
      <c r="F44">
        <v>0.45248653619820101</v>
      </c>
      <c r="G44" s="1">
        <v>2.9953040008122401E-5</v>
      </c>
      <c r="H44">
        <v>1.9032718887021599E-2</v>
      </c>
      <c r="I44" t="str">
        <f>VLOOKUP(C44, Table1[[#All],[Entry]:[Length]], 5,FALSE)</f>
        <v>LOC116287085</v>
      </c>
      <c r="J44" t="str">
        <f>IF(C44= "NA", "", VLOOKUP(C44, Table1[[#All],[Entry]:[Length]], 5,FALSE))</f>
        <v>LOC116287085</v>
      </c>
    </row>
    <row r="45" spans="1:10" x14ac:dyDescent="0.25">
      <c r="A45" t="s">
        <v>7</v>
      </c>
      <c r="B45" t="s">
        <v>92</v>
      </c>
      <c r="C45" t="s">
        <v>93</v>
      </c>
      <c r="D45">
        <v>128.990034311382</v>
      </c>
      <c r="E45">
        <v>-1.14241076640783</v>
      </c>
      <c r="F45">
        <v>0.63843553590293201</v>
      </c>
      <c r="G45" s="1">
        <v>3.9698438354823297E-5</v>
      </c>
      <c r="H45">
        <v>2.1268243748408602E-2</v>
      </c>
      <c r="I45" t="str">
        <f>VLOOKUP(C45, Table1[[#All],[Entry]:[Length]], 5,FALSE)</f>
        <v>LOC116287832</v>
      </c>
      <c r="J45" t="str">
        <f>IF(C45= "NA", "", VLOOKUP(C45, Table1[[#All],[Entry]:[Length]], 5,FALSE))</f>
        <v>LOC116287832</v>
      </c>
    </row>
    <row r="46" spans="1:10" x14ac:dyDescent="0.25">
      <c r="A46" t="s">
        <v>7</v>
      </c>
      <c r="B46" t="s">
        <v>94</v>
      </c>
      <c r="C46" t="s">
        <v>95</v>
      </c>
      <c r="D46">
        <v>21.303881925706001</v>
      </c>
      <c r="E46">
        <v>1.13161067159281</v>
      </c>
      <c r="F46">
        <v>0.58128382539368295</v>
      </c>
      <c r="G46" s="1">
        <v>3.9501176631153802E-5</v>
      </c>
      <c r="H46">
        <v>2.1268243748408602E-2</v>
      </c>
      <c r="I46" t="str">
        <f>VLOOKUP(C46, Table1[[#All],[Entry]:[Length]], 5,FALSE)</f>
        <v>PACLA_8A045298</v>
      </c>
      <c r="J46" t="str">
        <f>IF(C46= "NA", "", VLOOKUP(C46, Table1[[#All],[Entry]:[Length]], 5,FALSE))</f>
        <v>PACLA_8A045298</v>
      </c>
    </row>
    <row r="47" spans="1:10" x14ac:dyDescent="0.25">
      <c r="A47" t="s">
        <v>7</v>
      </c>
      <c r="B47" t="s">
        <v>96</v>
      </c>
      <c r="C47" t="s">
        <v>97</v>
      </c>
      <c r="D47">
        <v>45.159418129061599</v>
      </c>
      <c r="E47">
        <v>1.1288823918570301</v>
      </c>
      <c r="F47">
        <v>0.768345935910275</v>
      </c>
      <c r="G47" s="1">
        <v>3.8370683737175703E-5</v>
      </c>
      <c r="H47">
        <v>2.1268243748408602E-2</v>
      </c>
      <c r="I47" t="str">
        <f>VLOOKUP(C47, Table1[[#All],[Entry]:[Length]], 5,FALSE)</f>
        <v>NEMVEDRAFT_v1g244269</v>
      </c>
      <c r="J47" t="str">
        <f>IF(C47= "NA", "", VLOOKUP(C47, Table1[[#All],[Entry]:[Length]], 5,FALSE))</f>
        <v>NEMVEDRAFT_v1g244269</v>
      </c>
    </row>
    <row r="48" spans="1:10" x14ac:dyDescent="0.25">
      <c r="A48" t="s">
        <v>7</v>
      </c>
      <c r="B48" t="s">
        <v>98</v>
      </c>
      <c r="C48" t="s">
        <v>99</v>
      </c>
      <c r="D48">
        <v>73.696445126536304</v>
      </c>
      <c r="E48">
        <v>1.1157407238735699</v>
      </c>
      <c r="F48">
        <v>0.80842195391077398</v>
      </c>
      <c r="G48" s="1">
        <v>3.7548129410140698E-5</v>
      </c>
      <c r="H48">
        <v>2.1268243748408602E-2</v>
      </c>
      <c r="I48" t="str">
        <f>VLOOKUP(C48, Table1[[#All],[Entry]:[Length]], 5,FALSE)</f>
        <v>LOC116288275</v>
      </c>
      <c r="J48" t="str">
        <f>IF(C48= "NA", "", VLOOKUP(C48, Table1[[#All],[Entry]:[Length]], 5,FALSE))</f>
        <v>LOC116288275</v>
      </c>
    </row>
    <row r="49" spans="1:10" x14ac:dyDescent="0.25">
      <c r="A49" t="s">
        <v>7</v>
      </c>
      <c r="B49" t="s">
        <v>100</v>
      </c>
      <c r="C49" t="s">
        <v>101</v>
      </c>
      <c r="D49">
        <v>9526.69647768498</v>
      </c>
      <c r="E49">
        <v>1.0930153193623</v>
      </c>
      <c r="F49">
        <v>0.48646295565838898</v>
      </c>
      <c r="G49" s="1">
        <v>3.6774849060891003E-5</v>
      </c>
      <c r="H49">
        <v>2.1268243748408602E-2</v>
      </c>
      <c r="I49" t="str">
        <f>VLOOKUP(C49, Table1[[#All],[Entry]:[Length]], 5,FALSE)</f>
        <v>LOC116308518</v>
      </c>
      <c r="J49" t="str">
        <f>IF(C49= "NA", "", VLOOKUP(C49, Table1[[#All],[Entry]:[Length]], 5,FALSE))</f>
        <v>LOC116308518</v>
      </c>
    </row>
    <row r="50" spans="1:10" x14ac:dyDescent="0.25">
      <c r="A50" t="s">
        <v>7</v>
      </c>
      <c r="B50" t="s">
        <v>102</v>
      </c>
      <c r="C50" t="s">
        <v>103</v>
      </c>
      <c r="D50">
        <v>184.53915726706899</v>
      </c>
      <c r="E50">
        <v>1.0181285550659001</v>
      </c>
      <c r="F50">
        <v>0.41890536154050301</v>
      </c>
      <c r="G50" s="1">
        <v>3.8772898874458801E-5</v>
      </c>
      <c r="H50">
        <v>2.1268243748408602E-2</v>
      </c>
      <c r="I50" t="str">
        <f>VLOOKUP(C50, Table1[[#All],[Entry]:[Length]], 5,FALSE)</f>
        <v>LOC116304569</v>
      </c>
      <c r="J50" t="str">
        <f>IF(C50= "NA", "", VLOOKUP(C50, Table1[[#All],[Entry]:[Length]], 5,FALSE))</f>
        <v>LOC116304569</v>
      </c>
    </row>
    <row r="51" spans="1:10" x14ac:dyDescent="0.25">
      <c r="A51" t="s">
        <v>7</v>
      </c>
      <c r="B51" t="s">
        <v>104</v>
      </c>
      <c r="C51" t="s">
        <v>105</v>
      </c>
      <c r="D51">
        <v>562.24019099463499</v>
      </c>
      <c r="E51">
        <v>0.77999374188347403</v>
      </c>
      <c r="F51">
        <v>0.27421095852111599</v>
      </c>
      <c r="G51" s="1">
        <v>3.8188783907586597E-5</v>
      </c>
      <c r="H51">
        <v>2.1268243748408602E-2</v>
      </c>
      <c r="I51" t="str">
        <f>VLOOKUP(C51, Table1[[#All],[Entry]:[Length]], 5,FALSE)</f>
        <v>LOC116297634</v>
      </c>
      <c r="J51" t="str">
        <f>IF(C51= "NA", "", VLOOKUP(C51, Table1[[#All],[Entry]:[Length]], 5,FALSE))</f>
        <v>LOC116297634</v>
      </c>
    </row>
    <row r="52" spans="1:10" x14ac:dyDescent="0.25">
      <c r="A52" t="s">
        <v>7</v>
      </c>
      <c r="B52" t="s">
        <v>106</v>
      </c>
      <c r="C52" t="s">
        <v>107</v>
      </c>
      <c r="D52">
        <v>409.57980930834998</v>
      </c>
      <c r="E52">
        <v>-0.69002087514780797</v>
      </c>
      <c r="F52">
        <v>1.43612412296071</v>
      </c>
      <c r="G52" s="1">
        <v>3.5263347516966502E-5</v>
      </c>
      <c r="H52">
        <v>2.1268243748408602E-2</v>
      </c>
      <c r="I52" t="str">
        <f>VLOOKUP(C52, Table1[[#All],[Entry]:[Length]], 5,FALSE)</f>
        <v>LOC116297222</v>
      </c>
      <c r="J52" t="str">
        <f>IF(C52= "NA", "", VLOOKUP(C52, Table1[[#All],[Entry]:[Length]], 5,FALSE))</f>
        <v>LOC116297222</v>
      </c>
    </row>
    <row r="53" spans="1:10" x14ac:dyDescent="0.25">
      <c r="A53" t="s">
        <v>7</v>
      </c>
      <c r="B53" t="s">
        <v>108</v>
      </c>
      <c r="C53" t="s">
        <v>75</v>
      </c>
      <c r="D53">
        <v>1533.6696860125301</v>
      </c>
      <c r="E53">
        <v>0.807923483734721</v>
      </c>
      <c r="F53">
        <v>0.29207228115221601</v>
      </c>
      <c r="G53" s="1">
        <v>4.0802156956320201E-5</v>
      </c>
      <c r="H53">
        <v>2.14391795099526E-2</v>
      </c>
      <c r="I53" t="str">
        <f>VLOOKUP(C53, Table1[[#All],[Entry]:[Length]], 5,FALSE)</f>
        <v>LOC116297422</v>
      </c>
      <c r="J53" t="str">
        <f>IF(C53= "NA", "", VLOOKUP(C53, Table1[[#All],[Entry]:[Length]], 5,FALSE))</f>
        <v>LOC116297422</v>
      </c>
    </row>
    <row r="54" spans="1:10" x14ac:dyDescent="0.25">
      <c r="A54" t="s">
        <v>7</v>
      </c>
      <c r="B54" t="s">
        <v>109</v>
      </c>
      <c r="C54" t="s">
        <v>110</v>
      </c>
      <c r="D54">
        <v>1957.80962350612</v>
      </c>
      <c r="E54">
        <v>0.97482186110297198</v>
      </c>
      <c r="F54">
        <v>0.40137413233507502</v>
      </c>
      <c r="G54" s="1">
        <v>4.3904870861701801E-5</v>
      </c>
      <c r="H54">
        <v>2.2483900162574701E-2</v>
      </c>
      <c r="I54" t="str">
        <f>VLOOKUP(C54, Table1[[#All],[Entry]:[Length]], 5,FALSE)</f>
        <v>LOC116295161</v>
      </c>
      <c r="J54" t="str">
        <f>IF(C54= "NA", "", VLOOKUP(C54, Table1[[#All],[Entry]:[Length]], 5,FALSE))</f>
        <v>LOC116295161</v>
      </c>
    </row>
    <row r="55" spans="1:10" x14ac:dyDescent="0.25">
      <c r="A55" t="s">
        <v>7</v>
      </c>
      <c r="B55" t="s">
        <v>111</v>
      </c>
      <c r="C55" t="s">
        <v>112</v>
      </c>
      <c r="D55">
        <v>2212.9359903127202</v>
      </c>
      <c r="E55">
        <v>-0.88802897483306897</v>
      </c>
      <c r="F55">
        <v>0.34289625566229298</v>
      </c>
      <c r="G55" s="1">
        <v>4.44362115719004E-5</v>
      </c>
      <c r="H55">
        <v>2.2483900162574701E-2</v>
      </c>
      <c r="I55" t="str">
        <f>VLOOKUP(C55, Table1[[#All],[Entry]:[Length]], 5,FALSE)</f>
        <v>LOC116302676</v>
      </c>
      <c r="J55" t="str">
        <f>IF(C55= "NA", "", VLOOKUP(C55, Table1[[#All],[Entry]:[Length]], 5,FALSE))</f>
        <v>LOC116302676</v>
      </c>
    </row>
    <row r="56" spans="1:10" x14ac:dyDescent="0.25">
      <c r="A56" t="s">
        <v>7</v>
      </c>
      <c r="B56" t="s">
        <v>113</v>
      </c>
      <c r="C56" t="s">
        <v>114</v>
      </c>
      <c r="D56">
        <v>57.890475831761798</v>
      </c>
      <c r="E56">
        <v>-1.10341137430643</v>
      </c>
      <c r="F56">
        <v>0.62010963201484404</v>
      </c>
      <c r="G56" s="1">
        <v>4.7662084861944503E-5</v>
      </c>
      <c r="H56">
        <v>2.2846862187419499E-2</v>
      </c>
      <c r="I56" t="str">
        <f>VLOOKUP(C56, Table1[[#All],[Entry]:[Length]], 5,FALSE)</f>
        <v>LOC116304887</v>
      </c>
      <c r="J56" t="str">
        <f>IF(C56= "NA", "", VLOOKUP(C56, Table1[[#All],[Entry]:[Length]], 5,FALSE))</f>
        <v>LOC116304887</v>
      </c>
    </row>
    <row r="57" spans="1:10" x14ac:dyDescent="0.25">
      <c r="A57" t="s">
        <v>7</v>
      </c>
      <c r="B57" t="s">
        <v>115</v>
      </c>
      <c r="C57" t="s">
        <v>116</v>
      </c>
      <c r="D57">
        <v>1390.26243458672</v>
      </c>
      <c r="E57">
        <v>1.02689877309646</v>
      </c>
      <c r="F57">
        <v>0.46288497838200199</v>
      </c>
      <c r="G57" s="1">
        <v>4.7263079897219101E-5</v>
      </c>
      <c r="H57">
        <v>2.2846862187419499E-2</v>
      </c>
      <c r="I57" t="str">
        <f>VLOOKUP(C57, Table1[[#All],[Entry]:[Length]], 5,FALSE)</f>
        <v>LOC116296515</v>
      </c>
      <c r="J57" t="str">
        <f>IF(C57= "NA", "", VLOOKUP(C57, Table1[[#All],[Entry]:[Length]], 5,FALSE))</f>
        <v>LOC116296515</v>
      </c>
    </row>
    <row r="58" spans="1:10" x14ac:dyDescent="0.25">
      <c r="A58" t="s">
        <v>7</v>
      </c>
      <c r="B58" t="s">
        <v>117</v>
      </c>
      <c r="C58" t="s">
        <v>118</v>
      </c>
      <c r="D58">
        <v>195.04440512588101</v>
      </c>
      <c r="E58">
        <v>-1.0130788086773601</v>
      </c>
      <c r="F58">
        <v>0.44784118229703002</v>
      </c>
      <c r="G58" s="1">
        <v>4.7229621062853501E-5</v>
      </c>
      <c r="H58">
        <v>2.2846862187419499E-2</v>
      </c>
      <c r="I58" t="str">
        <f>VLOOKUP(C58, Table1[[#All],[Entry]:[Length]], 5,FALSE)</f>
        <v>LOC116295255</v>
      </c>
      <c r="J58" t="str">
        <f>IF(C58= "NA", "", VLOOKUP(C58, Table1[[#All],[Entry]:[Length]], 5,FALSE))</f>
        <v>LOC116295255</v>
      </c>
    </row>
    <row r="59" spans="1:10" x14ac:dyDescent="0.25">
      <c r="A59" t="s">
        <v>7</v>
      </c>
      <c r="B59" t="s">
        <v>119</v>
      </c>
      <c r="C59" t="s">
        <v>120</v>
      </c>
      <c r="D59">
        <v>278.85186798245297</v>
      </c>
      <c r="E59">
        <v>0.95139077698188301</v>
      </c>
      <c r="F59">
        <v>0.40243644585911598</v>
      </c>
      <c r="G59" s="1">
        <v>5.0379268728843099E-5</v>
      </c>
      <c r="H59">
        <v>2.3732978611692698E-2</v>
      </c>
      <c r="I59" t="str">
        <f>VLOOKUP(C59, Table1[[#All],[Entry]:[Length]], 5,FALSE)</f>
        <v>LOC116305026</v>
      </c>
      <c r="J59" t="str">
        <f>IF(C59= "NA", "", VLOOKUP(C59, Table1[[#All],[Entry]:[Length]], 5,FALSE))</f>
        <v>LOC116305026</v>
      </c>
    </row>
    <row r="60" spans="1:10" x14ac:dyDescent="0.25">
      <c r="A60" t="s">
        <v>7</v>
      </c>
      <c r="B60" t="s">
        <v>121</v>
      </c>
      <c r="C60" t="s">
        <v>122</v>
      </c>
      <c r="D60">
        <v>22856.684939262501</v>
      </c>
      <c r="E60">
        <v>0.97122191038082994</v>
      </c>
      <c r="F60">
        <v>0.424960256763947</v>
      </c>
      <c r="G60" s="1">
        <v>5.2151028208530302E-5</v>
      </c>
      <c r="H60">
        <v>2.4151229554943601E-2</v>
      </c>
      <c r="I60" t="str">
        <f>VLOOKUP(C60, Table1[[#All],[Entry]:[Length]], 5,FALSE)</f>
        <v>LOC116286404</v>
      </c>
      <c r="J60" t="str">
        <f>IF(C60= "NA", "", VLOOKUP(C60, Table1[[#All],[Entry]:[Length]], 5,FALSE))</f>
        <v>LOC116286404</v>
      </c>
    </row>
    <row r="61" spans="1:10" x14ac:dyDescent="0.25">
      <c r="A61" t="s">
        <v>7</v>
      </c>
      <c r="B61" t="s">
        <v>123</v>
      </c>
      <c r="C61" t="s">
        <v>26</v>
      </c>
      <c r="D61">
        <v>676.51862386126299</v>
      </c>
      <c r="E61">
        <v>0.97997864817010905</v>
      </c>
      <c r="F61">
        <v>0.443088086493378</v>
      </c>
      <c r="G61" s="1">
        <v>5.5044345405282803E-5</v>
      </c>
      <c r="H61">
        <v>2.5066277491809001E-2</v>
      </c>
      <c r="I61" t="str">
        <f>VLOOKUP(C61, Table1[[#All],[Entry]:[Length]], 5,FALSE)</f>
        <v>LOC116298580</v>
      </c>
      <c r="J61" t="str">
        <f>IF(C61= "NA", "", VLOOKUP(C61, Table1[[#All],[Entry]:[Length]], 5,FALSE))</f>
        <v>LOC116298580</v>
      </c>
    </row>
    <row r="62" spans="1:10" x14ac:dyDescent="0.25">
      <c r="A62" t="s">
        <v>7</v>
      </c>
      <c r="B62" t="s">
        <v>124</v>
      </c>
      <c r="C62" t="s">
        <v>49</v>
      </c>
      <c r="D62">
        <v>1626.91867617505</v>
      </c>
      <c r="E62">
        <v>-0.80363552586361298</v>
      </c>
      <c r="F62">
        <v>0.32265459371162097</v>
      </c>
      <c r="G62" s="1">
        <v>5.92961280436937E-5</v>
      </c>
      <c r="H62">
        <v>2.6131421073191E-2</v>
      </c>
      <c r="I62" t="str">
        <f>VLOOKUP(C62, Table1[[#All],[Entry]:[Length]], 5,FALSE)</f>
        <v>LOC116294921</v>
      </c>
      <c r="J62" t="str">
        <f>IF(C62= "NA", "", VLOOKUP(C62, Table1[[#All],[Entry]:[Length]], 5,FALSE))</f>
        <v>LOC116294921</v>
      </c>
    </row>
    <row r="63" spans="1:10" x14ac:dyDescent="0.25">
      <c r="A63" t="s">
        <v>7</v>
      </c>
      <c r="B63" t="s">
        <v>125</v>
      </c>
      <c r="C63" t="s">
        <v>126</v>
      </c>
      <c r="D63">
        <v>1118.2008033288</v>
      </c>
      <c r="E63">
        <v>-0.71042228573180799</v>
      </c>
      <c r="F63">
        <v>1.0305868048281801</v>
      </c>
      <c r="G63" s="1">
        <v>5.90737765735763E-5</v>
      </c>
      <c r="H63">
        <v>2.6131421073191E-2</v>
      </c>
      <c r="I63" t="str">
        <f>VLOOKUP(C63, Table1[[#All],[Entry]:[Length]], 5,FALSE)</f>
        <v>LOC116291582</v>
      </c>
      <c r="J63" t="str">
        <f>IF(C63= "NA", "", VLOOKUP(C63, Table1[[#All],[Entry]:[Length]], 5,FALSE))</f>
        <v>LOC116291582</v>
      </c>
    </row>
    <row r="64" spans="1:10" x14ac:dyDescent="0.25">
      <c r="A64" t="s">
        <v>7</v>
      </c>
      <c r="B64" t="s">
        <v>127</v>
      </c>
      <c r="C64" t="s">
        <v>93</v>
      </c>
      <c r="D64">
        <v>638.31194920982</v>
      </c>
      <c r="E64">
        <v>-0.80693068720638095</v>
      </c>
      <c r="F64">
        <v>0.32632203019818201</v>
      </c>
      <c r="G64" s="1">
        <v>6.0356908290971003E-5</v>
      </c>
      <c r="H64">
        <v>2.6176695321177799E-2</v>
      </c>
      <c r="I64" t="str">
        <f>VLOOKUP(C64, Table1[[#All],[Entry]:[Length]], 5,FALSE)</f>
        <v>LOC116287832</v>
      </c>
      <c r="J64" t="str">
        <f>IF(C64= "NA", "", VLOOKUP(C64, Table1[[#All],[Entry]:[Length]], 5,FALSE))</f>
        <v>LOC116287832</v>
      </c>
    </row>
    <row r="65" spans="1:10" x14ac:dyDescent="0.25">
      <c r="A65" t="s">
        <v>7</v>
      </c>
      <c r="B65" t="s">
        <v>128</v>
      </c>
      <c r="C65" t="s">
        <v>83</v>
      </c>
      <c r="D65">
        <v>2416.81179544818</v>
      </c>
      <c r="E65">
        <v>-1.0019318568978299</v>
      </c>
      <c r="F65">
        <v>0.49700711196624098</v>
      </c>
      <c r="G65" s="1">
        <v>6.2044400265506901E-5</v>
      </c>
      <c r="H65">
        <v>2.6488111694600702E-2</v>
      </c>
      <c r="I65" t="e">
        <f>VLOOKUP(C65, Table1[[#All],[Entry]:[Length]], 5,FALSE)</f>
        <v>#N/A</v>
      </c>
      <c r="J65" t="str">
        <f>IF(C65= "NA", "", VLOOKUP(C65, Table1[[#All],[Entry]:[Length]], 5,FALSE))</f>
        <v/>
      </c>
    </row>
    <row r="66" spans="1:10" x14ac:dyDescent="0.25">
      <c r="A66" t="s">
        <v>7</v>
      </c>
      <c r="B66" t="s">
        <v>129</v>
      </c>
      <c r="C66" t="s">
        <v>83</v>
      </c>
      <c r="D66">
        <v>6879.5737943620998</v>
      </c>
      <c r="E66">
        <v>1.0018619167213501</v>
      </c>
      <c r="F66">
        <v>0.50225688666880297</v>
      </c>
      <c r="G66" s="1">
        <v>6.3201037756935796E-5</v>
      </c>
      <c r="H66">
        <v>2.65667993020424E-2</v>
      </c>
      <c r="I66" t="e">
        <f>VLOOKUP(C66, Table1[[#All],[Entry]:[Length]], 5,FALSE)</f>
        <v>#N/A</v>
      </c>
      <c r="J66" t="str">
        <f>IF(C66= "NA", "", VLOOKUP(C66, Table1[[#All],[Entry]:[Length]], 5,FALSE))</f>
        <v/>
      </c>
    </row>
    <row r="67" spans="1:10" x14ac:dyDescent="0.25">
      <c r="A67" t="s">
        <v>7</v>
      </c>
      <c r="B67" t="s">
        <v>130</v>
      </c>
      <c r="C67" t="s">
        <v>131</v>
      </c>
      <c r="D67">
        <v>1503.38176559372</v>
      </c>
      <c r="E67">
        <v>0.65952099346997395</v>
      </c>
      <c r="F67">
        <v>0.25995070295623601</v>
      </c>
      <c r="G67" s="1">
        <v>6.6386202741462207E-5</v>
      </c>
      <c r="H67">
        <v>2.74828820834087E-2</v>
      </c>
      <c r="I67" t="str">
        <f>VLOOKUP(C67, Table1[[#All],[Entry]:[Length]], 5,FALSE)</f>
        <v>LOC116301643</v>
      </c>
      <c r="J67" t="str">
        <f>IF(C67= "NA", "", VLOOKUP(C67, Table1[[#All],[Entry]:[Length]], 5,FALSE))</f>
        <v>LOC116301643</v>
      </c>
    </row>
    <row r="68" spans="1:10" x14ac:dyDescent="0.25">
      <c r="A68" t="s">
        <v>7</v>
      </c>
      <c r="B68" t="s">
        <v>132</v>
      </c>
      <c r="C68" t="s">
        <v>133</v>
      </c>
      <c r="D68">
        <v>923.10842424147802</v>
      </c>
      <c r="E68">
        <v>0.90404750717587801</v>
      </c>
      <c r="F68">
        <v>0.408171012333778</v>
      </c>
      <c r="G68" s="1">
        <v>6.7597873958155299E-5</v>
      </c>
      <c r="H68">
        <v>2.7566816569532498E-2</v>
      </c>
      <c r="I68" t="str">
        <f>VLOOKUP(C68, Table1[[#All],[Entry]:[Length]], 5,FALSE)</f>
        <v>LOC116299674</v>
      </c>
      <c r="J68" t="str">
        <f>IF(C68= "NA", "", VLOOKUP(C68, Table1[[#All],[Entry]:[Length]], 5,FALSE))</f>
        <v>LOC116299674</v>
      </c>
    </row>
    <row r="69" spans="1:10" x14ac:dyDescent="0.25">
      <c r="A69" t="s">
        <v>7</v>
      </c>
      <c r="B69" t="s">
        <v>134</v>
      </c>
      <c r="C69" t="s">
        <v>135</v>
      </c>
      <c r="D69">
        <v>66.846467529820004</v>
      </c>
      <c r="E69">
        <v>1.01675393183643</v>
      </c>
      <c r="F69">
        <v>0.63669224654010703</v>
      </c>
      <c r="G69" s="1">
        <v>7.2887917997344301E-5</v>
      </c>
      <c r="H69">
        <v>2.8590407457365598E-2</v>
      </c>
      <c r="I69" t="str">
        <f>VLOOKUP(C69, Table1[[#All],[Entry]:[Length]], 5,FALSE)</f>
        <v/>
      </c>
      <c r="J69" t="str">
        <f>IF(C69= "NA", "", VLOOKUP(C69, Table1[[#All],[Entry]:[Length]], 5,FALSE))</f>
        <v/>
      </c>
    </row>
    <row r="70" spans="1:10" x14ac:dyDescent="0.25">
      <c r="A70" t="s">
        <v>7</v>
      </c>
      <c r="B70" t="s">
        <v>136</v>
      </c>
      <c r="C70" t="s">
        <v>83</v>
      </c>
      <c r="D70">
        <v>124.450022918024</v>
      </c>
      <c r="E70">
        <v>0.90505867850183697</v>
      </c>
      <c r="F70">
        <v>0.42159136954160997</v>
      </c>
      <c r="G70" s="1">
        <v>7.2828514596319198E-5</v>
      </c>
      <c r="H70">
        <v>2.8590407457365598E-2</v>
      </c>
      <c r="I70" t="e">
        <f>VLOOKUP(C70, Table1[[#All],[Entry]:[Length]], 5,FALSE)</f>
        <v>#N/A</v>
      </c>
      <c r="J70" t="str">
        <f>IF(C70= "NA", "", VLOOKUP(C70, Table1[[#All],[Entry]:[Length]], 5,FALSE))</f>
        <v/>
      </c>
    </row>
    <row r="71" spans="1:10" x14ac:dyDescent="0.25">
      <c r="A71" t="s">
        <v>7</v>
      </c>
      <c r="B71" t="s">
        <v>137</v>
      </c>
      <c r="C71" t="s">
        <v>138</v>
      </c>
      <c r="D71">
        <v>567.16840624117106</v>
      </c>
      <c r="E71">
        <v>0.89038762013128703</v>
      </c>
      <c r="F71">
        <v>0.40941244710728297</v>
      </c>
      <c r="G71" s="1">
        <v>7.3247027120579395E-5</v>
      </c>
      <c r="H71">
        <v>2.8590407457365598E-2</v>
      </c>
      <c r="I71" t="str">
        <f>VLOOKUP(C71, Table1[[#All],[Entry]:[Length]], 5,FALSE)</f>
        <v>LOC116298677</v>
      </c>
      <c r="J71" t="str">
        <f>IF(C71= "NA", "", VLOOKUP(C71, Table1[[#All],[Entry]:[Length]], 5,FALSE))</f>
        <v>LOC116298677</v>
      </c>
    </row>
    <row r="72" spans="1:10" x14ac:dyDescent="0.25">
      <c r="A72" t="s">
        <v>7</v>
      </c>
      <c r="B72" t="s">
        <v>139</v>
      </c>
      <c r="C72" t="s">
        <v>140</v>
      </c>
      <c r="D72">
        <v>50.096859866901099</v>
      </c>
      <c r="E72">
        <v>1.0033884587501201</v>
      </c>
      <c r="F72">
        <v>0.62013167521927703</v>
      </c>
      <c r="G72" s="1">
        <v>7.7457549786649597E-5</v>
      </c>
      <c r="H72">
        <v>2.9394064344730901E-2</v>
      </c>
      <c r="I72" t="str">
        <f>VLOOKUP(C72, Table1[[#All],[Entry]:[Length]], 5,FALSE)</f>
        <v>LOC116296841</v>
      </c>
      <c r="J72" t="str">
        <f>IF(C72= "NA", "", VLOOKUP(C72, Table1[[#All],[Entry]:[Length]], 5,FALSE))</f>
        <v>LOC116296841</v>
      </c>
    </row>
    <row r="73" spans="1:10" x14ac:dyDescent="0.25">
      <c r="A73" t="s">
        <v>7</v>
      </c>
      <c r="B73" t="s">
        <v>141</v>
      </c>
      <c r="C73" t="s">
        <v>142</v>
      </c>
      <c r="D73">
        <v>283.72472709772597</v>
      </c>
      <c r="E73">
        <v>-0.99137352431356096</v>
      </c>
      <c r="F73">
        <v>0.55929803597501204</v>
      </c>
      <c r="G73" s="1">
        <v>7.7077607036947206E-5</v>
      </c>
      <c r="H73">
        <v>2.9394064344730901E-2</v>
      </c>
      <c r="I73" t="str">
        <f>VLOOKUP(C73, Table1[[#All],[Entry]:[Length]], 5,FALSE)</f>
        <v>LOC116302123</v>
      </c>
      <c r="J73" t="str">
        <f>IF(C73= "NA", "", VLOOKUP(C73, Table1[[#All],[Entry]:[Length]], 5,FALSE))</f>
        <v>LOC116302123</v>
      </c>
    </row>
    <row r="74" spans="1:10" x14ac:dyDescent="0.25">
      <c r="A74" t="s">
        <v>7</v>
      </c>
      <c r="B74" t="s">
        <v>143</v>
      </c>
      <c r="C74" t="s">
        <v>144</v>
      </c>
      <c r="D74">
        <v>253.97441316418201</v>
      </c>
      <c r="E74">
        <v>-0.87148135968400597</v>
      </c>
      <c r="F74">
        <v>0.40565077125678201</v>
      </c>
      <c r="G74" s="1">
        <v>7.9096782360228905E-5</v>
      </c>
      <c r="H74">
        <v>2.96049504716237E-2</v>
      </c>
      <c r="I74" t="str">
        <f>VLOOKUP(C74, Table1[[#All],[Entry]:[Length]], 5,FALSE)</f>
        <v>LOC116287034</v>
      </c>
      <c r="J74" t="str">
        <f>IF(C74= "NA", "", VLOOKUP(C74, Table1[[#All],[Entry]:[Length]], 5,FALSE))</f>
        <v>LOC116287034</v>
      </c>
    </row>
    <row r="75" spans="1:10" x14ac:dyDescent="0.25">
      <c r="A75" t="s">
        <v>7</v>
      </c>
      <c r="B75" t="s">
        <v>145</v>
      </c>
      <c r="C75" t="s">
        <v>146</v>
      </c>
      <c r="D75">
        <v>113.983560090894</v>
      </c>
      <c r="E75">
        <v>0.98982290469645295</v>
      </c>
      <c r="F75">
        <v>0.63046642517561802</v>
      </c>
      <c r="G75" s="1">
        <v>8.2750025852558096E-5</v>
      </c>
      <c r="H75">
        <v>3.01463860849259E-2</v>
      </c>
      <c r="I75" t="str">
        <f>VLOOKUP(C75, Table1[[#All],[Entry]:[Length]], 5,FALSE)</f>
        <v>LOC116299382</v>
      </c>
      <c r="J75" t="str">
        <f>IF(C75= "NA", "", VLOOKUP(C75, Table1[[#All],[Entry]:[Length]], 5,FALSE))</f>
        <v>LOC116299382</v>
      </c>
    </row>
    <row r="76" spans="1:10" x14ac:dyDescent="0.25">
      <c r="A76" t="s">
        <v>7</v>
      </c>
      <c r="B76" t="s">
        <v>147</v>
      </c>
      <c r="C76" t="s">
        <v>148</v>
      </c>
      <c r="D76">
        <v>47.473546109576603</v>
      </c>
      <c r="E76">
        <v>0.94390011734059698</v>
      </c>
      <c r="F76">
        <v>0.49321631997100002</v>
      </c>
      <c r="G76" s="1">
        <v>8.2362351338970404E-5</v>
      </c>
      <c r="H76">
        <v>3.01463860849259E-2</v>
      </c>
      <c r="I76" t="str">
        <f>VLOOKUP(C76, Table1[[#All],[Entry]:[Length]], 5,FALSE)</f>
        <v>LOC116296533</v>
      </c>
      <c r="J76" t="str">
        <f>IF(C76= "NA", "", VLOOKUP(C76, Table1[[#All],[Entry]:[Length]], 5,FALSE))</f>
        <v>LOC116296533</v>
      </c>
    </row>
    <row r="77" spans="1:10" x14ac:dyDescent="0.25">
      <c r="A77" t="s">
        <v>7</v>
      </c>
      <c r="B77" t="s">
        <v>149</v>
      </c>
      <c r="C77" t="s">
        <v>150</v>
      </c>
      <c r="D77">
        <v>20366.615835311601</v>
      </c>
      <c r="E77">
        <v>0.87730580065520103</v>
      </c>
      <c r="F77">
        <v>0.42316916871976701</v>
      </c>
      <c r="G77" s="1">
        <v>8.4951960615601503E-5</v>
      </c>
      <c r="H77">
        <v>3.0541347630264198E-2</v>
      </c>
      <c r="I77" t="str">
        <f>VLOOKUP(C77, Table1[[#All],[Entry]:[Length]], 5,FALSE)</f>
        <v>LOC116299051</v>
      </c>
      <c r="J77" t="str">
        <f>IF(C77= "NA", "", VLOOKUP(C77, Table1[[#All],[Entry]:[Length]], 5,FALSE))</f>
        <v>LOC116299051</v>
      </c>
    </row>
    <row r="78" spans="1:10" x14ac:dyDescent="0.25">
      <c r="A78" t="s">
        <v>7</v>
      </c>
      <c r="B78" t="s">
        <v>151</v>
      </c>
      <c r="C78" t="s">
        <v>152</v>
      </c>
      <c r="D78">
        <v>151.839961450559</v>
      </c>
      <c r="E78">
        <v>0.97621853418764404</v>
      </c>
      <c r="F78">
        <v>0.62210188091200902</v>
      </c>
      <c r="G78" s="1">
        <v>8.8139369388169904E-5</v>
      </c>
      <c r="H78">
        <v>3.1275740127181401E-2</v>
      </c>
      <c r="I78" t="str">
        <f>VLOOKUP(C78, Table1[[#All],[Entry]:[Length]], 5,FALSE)</f>
        <v>LOC116289544</v>
      </c>
      <c r="J78" t="str">
        <f>IF(C78= "NA", "", VLOOKUP(C78, Table1[[#All],[Entry]:[Length]], 5,FALSE))</f>
        <v>LOC116289544</v>
      </c>
    </row>
    <row r="79" spans="1:10" x14ac:dyDescent="0.25">
      <c r="A79" t="s">
        <v>7</v>
      </c>
      <c r="B79" t="s">
        <v>153</v>
      </c>
      <c r="C79" t="s">
        <v>154</v>
      </c>
      <c r="D79">
        <v>39.476857666302699</v>
      </c>
      <c r="E79">
        <v>0.95070676255018105</v>
      </c>
      <c r="F79">
        <v>0.67344141274205704</v>
      </c>
      <c r="G79" s="1">
        <v>9.6724799527450896E-5</v>
      </c>
      <c r="H79">
        <v>3.1841104789018498E-2</v>
      </c>
      <c r="I79" t="str">
        <f>VLOOKUP(C79, Table1[[#All],[Entry]:[Length]], 5,FALSE)</f>
        <v>LOC116304503</v>
      </c>
      <c r="J79" t="str">
        <f>IF(C79= "NA", "", VLOOKUP(C79, Table1[[#All],[Entry]:[Length]], 5,FALSE))</f>
        <v>LOC116304503</v>
      </c>
    </row>
    <row r="80" spans="1:10" x14ac:dyDescent="0.25">
      <c r="A80" t="s">
        <v>7</v>
      </c>
      <c r="B80" t="s">
        <v>155</v>
      </c>
      <c r="C80" t="s">
        <v>156</v>
      </c>
      <c r="D80">
        <v>410.32955472177099</v>
      </c>
      <c r="E80">
        <v>0.94871399833987402</v>
      </c>
      <c r="F80">
        <v>0.56954940031121704</v>
      </c>
      <c r="G80" s="1">
        <v>9.6485812175418697E-5</v>
      </c>
      <c r="H80">
        <v>3.1841104789018498E-2</v>
      </c>
      <c r="I80" t="str">
        <f>VLOOKUP(C80, Table1[[#All],[Entry]:[Length]], 5,FALSE)</f>
        <v>LOC116308239</v>
      </c>
      <c r="J80" t="str">
        <f>IF(C80= "NA", "", VLOOKUP(C80, Table1[[#All],[Entry]:[Length]], 5,FALSE))</f>
        <v>LOC116308239</v>
      </c>
    </row>
    <row r="81" spans="1:10" x14ac:dyDescent="0.25">
      <c r="A81" t="s">
        <v>7</v>
      </c>
      <c r="B81" t="s">
        <v>157</v>
      </c>
      <c r="C81" t="s">
        <v>158</v>
      </c>
      <c r="D81">
        <v>352.49919187383603</v>
      </c>
      <c r="E81">
        <v>0.85478754345276897</v>
      </c>
      <c r="F81">
        <v>0.42204257574869902</v>
      </c>
      <c r="G81" s="1">
        <v>9.4867717211423496E-5</v>
      </c>
      <c r="H81">
        <v>3.1841104789018498E-2</v>
      </c>
      <c r="I81" t="str">
        <f>VLOOKUP(C81, Table1[[#All],[Entry]:[Length]], 5,FALSE)</f>
        <v>LOC116306757</v>
      </c>
      <c r="J81" t="str">
        <f>IF(C81= "NA", "", VLOOKUP(C81, Table1[[#All],[Entry]:[Length]], 5,FALSE))</f>
        <v>LOC116306757</v>
      </c>
    </row>
    <row r="82" spans="1:10" x14ac:dyDescent="0.25">
      <c r="A82" t="s">
        <v>7</v>
      </c>
      <c r="B82" t="s">
        <v>159</v>
      </c>
      <c r="C82" t="s">
        <v>160</v>
      </c>
      <c r="D82">
        <v>2869.5918623160901</v>
      </c>
      <c r="E82">
        <v>0.85263495091734598</v>
      </c>
      <c r="F82">
        <v>0.41536034127827398</v>
      </c>
      <c r="G82" s="1">
        <v>9.2434350388864099E-5</v>
      </c>
      <c r="H82">
        <v>3.1841104789018498E-2</v>
      </c>
      <c r="I82" t="str">
        <f>VLOOKUP(C82, Table1[[#All],[Entry]:[Length]], 5,FALSE)</f>
        <v>LOC116295515</v>
      </c>
      <c r="J82" t="str">
        <f>IF(C82= "NA", "", VLOOKUP(C82, Table1[[#All],[Entry]:[Length]], 5,FALSE))</f>
        <v>LOC116295515</v>
      </c>
    </row>
    <row r="83" spans="1:10" x14ac:dyDescent="0.25">
      <c r="A83" t="s">
        <v>7</v>
      </c>
      <c r="B83" t="s">
        <v>161</v>
      </c>
      <c r="C83" t="s">
        <v>138</v>
      </c>
      <c r="D83">
        <v>440.50625801201898</v>
      </c>
      <c r="E83">
        <v>0.85103698051088905</v>
      </c>
      <c r="F83">
        <v>0.418718725761691</v>
      </c>
      <c r="G83" s="1">
        <v>9.4973319122299997E-5</v>
      </c>
      <c r="H83">
        <v>3.1841104789018498E-2</v>
      </c>
      <c r="I83" t="str">
        <f>VLOOKUP(C83, Table1[[#All],[Entry]:[Length]], 5,FALSE)</f>
        <v>LOC116298677</v>
      </c>
      <c r="J83" t="str">
        <f>IF(C83= "NA", "", VLOOKUP(C83, Table1[[#All],[Entry]:[Length]], 5,FALSE))</f>
        <v>LOC116298677</v>
      </c>
    </row>
    <row r="84" spans="1:10" x14ac:dyDescent="0.25">
      <c r="A84" t="s">
        <v>7</v>
      </c>
      <c r="B84" t="s">
        <v>162</v>
      </c>
      <c r="C84" t="s">
        <v>163</v>
      </c>
      <c r="D84">
        <v>27.5288943016823</v>
      </c>
      <c r="E84">
        <v>-0.74060968282018602</v>
      </c>
      <c r="F84">
        <v>0.87803513890049101</v>
      </c>
      <c r="G84" s="1">
        <v>9.3527880729049506E-5</v>
      </c>
      <c r="H84">
        <v>3.1841104789018498E-2</v>
      </c>
      <c r="I84" t="str">
        <f>VLOOKUP(C84, Table1[[#All],[Entry]:[Length]], 5,FALSE)</f>
        <v>LOC116291536</v>
      </c>
      <c r="J84" t="str">
        <f>IF(C84= "NA", "", VLOOKUP(C84, Table1[[#All],[Entry]:[Length]], 5,FALSE))</f>
        <v>LOC116291536</v>
      </c>
    </row>
    <row r="85" spans="1:10" x14ac:dyDescent="0.25">
      <c r="A85" t="s">
        <v>7</v>
      </c>
      <c r="B85" t="s">
        <v>164</v>
      </c>
      <c r="C85" t="s">
        <v>165</v>
      </c>
      <c r="D85">
        <v>509.58222478945697</v>
      </c>
      <c r="E85">
        <v>0.64679374873923301</v>
      </c>
      <c r="F85">
        <v>0.28708243143000201</v>
      </c>
      <c r="G85" s="1">
        <v>9.9371500281353705E-5</v>
      </c>
      <c r="H85">
        <v>3.1942676496322701E-2</v>
      </c>
      <c r="I85" t="str">
        <f>VLOOKUP(C85, Table1[[#All],[Entry]:[Length]], 5,FALSE)</f>
        <v>LOC116291583</v>
      </c>
      <c r="J85" t="str">
        <f>IF(C85= "NA", "", VLOOKUP(C85, Table1[[#All],[Entry]:[Length]], 5,FALSE))</f>
        <v>LOC116291583</v>
      </c>
    </row>
    <row r="86" spans="1:10" x14ac:dyDescent="0.25">
      <c r="A86" t="s">
        <v>7</v>
      </c>
      <c r="B86" t="s">
        <v>166</v>
      </c>
      <c r="C86" t="s">
        <v>167</v>
      </c>
      <c r="D86">
        <v>430.80468830541201</v>
      </c>
      <c r="E86">
        <v>0.463538378769214</v>
      </c>
      <c r="F86">
        <v>0.97129240402614903</v>
      </c>
      <c r="G86" s="1">
        <v>9.8871349739643194E-5</v>
      </c>
      <c r="H86">
        <v>3.1942676496322701E-2</v>
      </c>
      <c r="I86" t="str">
        <f>VLOOKUP(C86, Table1[[#All],[Entry]:[Length]], 5,FALSE)</f>
        <v>LOC116296613</v>
      </c>
      <c r="J86" t="str">
        <f>IF(C86= "NA", "", VLOOKUP(C86, Table1[[#All],[Entry]:[Length]], 5,FALSE))</f>
        <v>LOC116296613</v>
      </c>
    </row>
    <row r="87" spans="1:10" x14ac:dyDescent="0.25">
      <c r="A87" t="s">
        <v>7</v>
      </c>
      <c r="B87" t="s">
        <v>168</v>
      </c>
      <c r="C87" t="s">
        <v>169</v>
      </c>
      <c r="D87">
        <v>846.11532098310897</v>
      </c>
      <c r="E87">
        <v>0.83044328225897301</v>
      </c>
      <c r="F87">
        <v>0.42817151255745001</v>
      </c>
      <c r="G87">
        <v>1.10997925905998E-4</v>
      </c>
      <c r="H87">
        <v>3.5265073599181199E-2</v>
      </c>
      <c r="I87" t="str">
        <f>VLOOKUP(C87, Table1[[#All],[Entry]:[Length]], 5,FALSE)</f>
        <v>LOC116296569</v>
      </c>
      <c r="J87" t="str">
        <f>IF(C87= "NA", "", VLOOKUP(C87, Table1[[#All],[Entry]:[Length]], 5,FALSE))</f>
        <v>LOC116296569</v>
      </c>
    </row>
    <row r="88" spans="1:10" x14ac:dyDescent="0.25">
      <c r="A88" t="s">
        <v>7</v>
      </c>
      <c r="B88" t="s">
        <v>170</v>
      </c>
      <c r="C88" t="s">
        <v>171</v>
      </c>
      <c r="D88">
        <v>1594.8693775952299</v>
      </c>
      <c r="E88">
        <v>-0.80559543570774805</v>
      </c>
      <c r="F88">
        <v>0.40935658795709601</v>
      </c>
      <c r="G88">
        <v>1.13832885008816E-4</v>
      </c>
      <c r="H88">
        <v>3.5750068012596399E-2</v>
      </c>
      <c r="I88" t="str">
        <f>VLOOKUP(C88, Table1[[#All],[Entry]:[Length]], 5,FALSE)</f>
        <v>LOC116293373</v>
      </c>
      <c r="J88" t="str">
        <f>IF(C88= "NA", "", VLOOKUP(C88, Table1[[#All],[Entry]:[Length]], 5,FALSE))</f>
        <v>LOC116293373</v>
      </c>
    </row>
    <row r="89" spans="1:10" x14ac:dyDescent="0.25">
      <c r="A89" t="s">
        <v>7</v>
      </c>
      <c r="B89" t="s">
        <v>172</v>
      </c>
      <c r="C89" t="s">
        <v>173</v>
      </c>
      <c r="D89">
        <v>208.68126368179699</v>
      </c>
      <c r="E89">
        <v>0.90561174589022098</v>
      </c>
      <c r="F89">
        <v>0.59227635684673197</v>
      </c>
      <c r="G89">
        <v>1.21283272335114E-4</v>
      </c>
      <c r="H89">
        <v>3.6551469177127399E-2</v>
      </c>
      <c r="I89" t="str">
        <f>VLOOKUP(C89, Table1[[#All],[Entry]:[Length]], 5,FALSE)</f>
        <v>LOC116287015</v>
      </c>
      <c r="J89" t="str">
        <f>IF(C89= "NA", "", VLOOKUP(C89, Table1[[#All],[Entry]:[Length]], 5,FALSE))</f>
        <v>LOC116287015</v>
      </c>
    </row>
    <row r="90" spans="1:10" x14ac:dyDescent="0.25">
      <c r="A90" t="s">
        <v>7</v>
      </c>
      <c r="B90" t="s">
        <v>174</v>
      </c>
      <c r="C90" t="s">
        <v>175</v>
      </c>
      <c r="D90">
        <v>124.62062473327001</v>
      </c>
      <c r="E90">
        <v>0.87840948723377599</v>
      </c>
      <c r="F90">
        <v>0.51457835593615198</v>
      </c>
      <c r="G90">
        <v>1.21660007781063E-4</v>
      </c>
      <c r="H90">
        <v>3.6551469177127399E-2</v>
      </c>
      <c r="I90" t="str">
        <f>VLOOKUP(C90, Table1[[#All],[Entry]:[Length]], 5,FALSE)</f>
        <v>LOC116288334</v>
      </c>
      <c r="J90" t="str">
        <f>IF(C90= "NA", "", VLOOKUP(C90, Table1[[#All],[Entry]:[Length]], 5,FALSE))</f>
        <v>LOC116288334</v>
      </c>
    </row>
    <row r="91" spans="1:10" x14ac:dyDescent="0.25">
      <c r="A91" t="s">
        <v>7</v>
      </c>
      <c r="B91" t="s">
        <v>176</v>
      </c>
      <c r="C91" t="s">
        <v>177</v>
      </c>
      <c r="D91">
        <v>1344.79232918721</v>
      </c>
      <c r="E91">
        <v>-0.666546084331189</v>
      </c>
      <c r="F91">
        <v>0.31764498482537001</v>
      </c>
      <c r="G91">
        <v>1.20908391707139E-4</v>
      </c>
      <c r="H91">
        <v>3.6551469177127399E-2</v>
      </c>
      <c r="I91" t="str">
        <f>VLOOKUP(C91, Table1[[#All],[Entry]:[Length]], 5,FALSE)</f>
        <v>LOC116291646</v>
      </c>
      <c r="J91" t="str">
        <f>IF(C91= "NA", "", VLOOKUP(C91, Table1[[#All],[Entry]:[Length]], 5,FALSE))</f>
        <v>LOC116291646</v>
      </c>
    </row>
    <row r="92" spans="1:10" x14ac:dyDescent="0.25">
      <c r="A92" t="s">
        <v>7</v>
      </c>
      <c r="B92" t="s">
        <v>178</v>
      </c>
      <c r="C92" t="s">
        <v>179</v>
      </c>
      <c r="D92">
        <v>43.083843607099197</v>
      </c>
      <c r="E92">
        <v>-0.55061713068573004</v>
      </c>
      <c r="F92">
        <v>0.877253039573473</v>
      </c>
      <c r="G92">
        <v>1.2173566940374799E-4</v>
      </c>
      <c r="H92">
        <v>3.6551469177127399E-2</v>
      </c>
      <c r="I92" t="str">
        <f>VLOOKUP(C92, Table1[[#All],[Entry]:[Length]], 5,FALSE)</f>
        <v>LOC116297111</v>
      </c>
      <c r="J92" t="str">
        <f>IF(C92= "NA", "", VLOOKUP(C92, Table1[[#All],[Entry]:[Length]], 5,FALSE))</f>
        <v>LOC116297111</v>
      </c>
    </row>
    <row r="93" spans="1:10" x14ac:dyDescent="0.25">
      <c r="A93" t="s">
        <v>7</v>
      </c>
      <c r="B93" t="s">
        <v>180</v>
      </c>
      <c r="C93" t="s">
        <v>181</v>
      </c>
      <c r="D93">
        <v>3388.0727842217402</v>
      </c>
      <c r="E93">
        <v>0.83442205148767501</v>
      </c>
      <c r="F93">
        <v>0.454885535255805</v>
      </c>
      <c r="G93">
        <v>1.2327100863016599E-4</v>
      </c>
      <c r="H93">
        <v>3.66101496608916E-2</v>
      </c>
      <c r="I93" t="str">
        <f>VLOOKUP(C93, Table1[[#All],[Entry]:[Length]], 5,FALSE)</f>
        <v>LOC116295159</v>
      </c>
      <c r="J93" t="str">
        <f>IF(C93= "NA", "", VLOOKUP(C93, Table1[[#All],[Entry]:[Length]], 5,FALSE))</f>
        <v>LOC116295159</v>
      </c>
    </row>
    <row r="94" spans="1:10" x14ac:dyDescent="0.25">
      <c r="A94" t="s">
        <v>7</v>
      </c>
      <c r="B94" t="s">
        <v>182</v>
      </c>
      <c r="C94" t="s">
        <v>183</v>
      </c>
      <c r="D94">
        <v>186.61809683267199</v>
      </c>
      <c r="E94">
        <v>-0.83655872256208597</v>
      </c>
      <c r="F94">
        <v>0.46181797755359799</v>
      </c>
      <c r="G94">
        <v>1.25518226841637E-4</v>
      </c>
      <c r="H94">
        <v>3.6876715182731799E-2</v>
      </c>
      <c r="I94" t="str">
        <f>VLOOKUP(C94, Table1[[#All],[Entry]:[Length]], 5,FALSE)</f>
        <v>LOC116304543</v>
      </c>
      <c r="J94" t="str">
        <f>IF(C94= "NA", "", VLOOKUP(C94, Table1[[#All],[Entry]:[Length]], 5,FALSE))</f>
        <v>LOC116304543</v>
      </c>
    </row>
    <row r="95" spans="1:10" x14ac:dyDescent="0.25">
      <c r="A95" t="s">
        <v>7</v>
      </c>
      <c r="B95" t="s">
        <v>184</v>
      </c>
      <c r="C95" t="s">
        <v>83</v>
      </c>
      <c r="D95">
        <v>1068.3470812836699</v>
      </c>
      <c r="E95">
        <v>0.50615815715592705</v>
      </c>
      <c r="F95">
        <v>0.86915210206164395</v>
      </c>
      <c r="G95">
        <v>1.30960676259964E-4</v>
      </c>
      <c r="H95">
        <v>3.8066367632457403E-2</v>
      </c>
      <c r="I95" t="e">
        <f>VLOOKUP(C95, Table1[[#All],[Entry]:[Length]], 5,FALSE)</f>
        <v>#N/A</v>
      </c>
      <c r="J95" t="str">
        <f>IF(C95= "NA", "", VLOOKUP(C95, Table1[[#All],[Entry]:[Length]], 5,FALSE))</f>
        <v/>
      </c>
    </row>
    <row r="96" spans="1:10" x14ac:dyDescent="0.25">
      <c r="A96" t="s">
        <v>7</v>
      </c>
      <c r="B96" t="s">
        <v>185</v>
      </c>
      <c r="C96" t="s">
        <v>186</v>
      </c>
      <c r="D96">
        <v>69.949183281049002</v>
      </c>
      <c r="E96">
        <v>0.88058362630501796</v>
      </c>
      <c r="F96">
        <v>0.58103543779147004</v>
      </c>
      <c r="G96">
        <v>1.3521396010072E-4</v>
      </c>
      <c r="H96">
        <v>3.8528295907709197E-2</v>
      </c>
      <c r="I96" t="str">
        <f>VLOOKUP(C96, Table1[[#All],[Entry]:[Length]], 5,FALSE)</f>
        <v>LOC116291298</v>
      </c>
      <c r="J96" t="str">
        <f>IF(C96= "NA", "", VLOOKUP(C96, Table1[[#All],[Entry]:[Length]], 5,FALSE))</f>
        <v>LOC116291298</v>
      </c>
    </row>
    <row r="97" spans="1:10" x14ac:dyDescent="0.25">
      <c r="A97" t="s">
        <v>7</v>
      </c>
      <c r="B97" t="s">
        <v>187</v>
      </c>
      <c r="C97" t="s">
        <v>188</v>
      </c>
      <c r="D97">
        <v>121.71031390054399</v>
      </c>
      <c r="E97">
        <v>-0.70368558724233399</v>
      </c>
      <c r="F97">
        <v>0.35679613759194001</v>
      </c>
      <c r="G97">
        <v>1.3691963844955201E-4</v>
      </c>
      <c r="H97">
        <v>3.8528295907709197E-2</v>
      </c>
      <c r="I97" t="str">
        <f>VLOOKUP(C97, Table1[[#All],[Entry]:[Length]], 5,FALSE)</f>
        <v>LOC116304623</v>
      </c>
      <c r="J97" t="str">
        <f>IF(C97= "NA", "", VLOOKUP(C97, Table1[[#All],[Entry]:[Length]], 5,FALSE))</f>
        <v>LOC116304623</v>
      </c>
    </row>
    <row r="98" spans="1:10" x14ac:dyDescent="0.25">
      <c r="A98" t="s">
        <v>7</v>
      </c>
      <c r="B98" t="s">
        <v>189</v>
      </c>
      <c r="C98" t="s">
        <v>190</v>
      </c>
      <c r="D98">
        <v>3155.6452417230598</v>
      </c>
      <c r="E98">
        <v>0.67808386981047497</v>
      </c>
      <c r="F98">
        <v>0.34047969978390802</v>
      </c>
      <c r="G98">
        <v>1.38190279213685E-4</v>
      </c>
      <c r="H98">
        <v>3.8528295907709197E-2</v>
      </c>
      <c r="I98" t="str">
        <f>VLOOKUP(C98, Table1[[#All],[Entry]:[Length]], 5,FALSE)</f>
        <v>LOC116308917</v>
      </c>
      <c r="J98" t="str">
        <f>IF(C98= "NA", "", VLOOKUP(C98, Table1[[#All],[Entry]:[Length]], 5,FALSE))</f>
        <v>LOC116308917</v>
      </c>
    </row>
    <row r="99" spans="1:10" x14ac:dyDescent="0.25">
      <c r="A99" t="s">
        <v>7</v>
      </c>
      <c r="B99" t="s">
        <v>191</v>
      </c>
      <c r="C99" t="s">
        <v>192</v>
      </c>
      <c r="D99">
        <v>454.92239708452598</v>
      </c>
      <c r="E99">
        <v>-0.47199172564505598</v>
      </c>
      <c r="F99">
        <v>0.229378740887687</v>
      </c>
      <c r="G99">
        <v>1.3616513880865499E-4</v>
      </c>
      <c r="H99">
        <v>3.8528295907709197E-2</v>
      </c>
      <c r="I99" t="str">
        <f>VLOOKUP(C99, Table1[[#All],[Entry]:[Length]], 5,FALSE)</f>
        <v>LOC116301787</v>
      </c>
      <c r="J99" t="str">
        <f>IF(C99= "NA", "", VLOOKUP(C99, Table1[[#All],[Entry]:[Length]], 5,FALSE))</f>
        <v>LOC116301787</v>
      </c>
    </row>
    <row r="100" spans="1:10" x14ac:dyDescent="0.25">
      <c r="A100" t="s">
        <v>7</v>
      </c>
      <c r="B100" t="s">
        <v>193</v>
      </c>
      <c r="C100" t="s">
        <v>194</v>
      </c>
      <c r="D100">
        <v>17.090767594687701</v>
      </c>
      <c r="E100">
        <v>0.52123364566260899</v>
      </c>
      <c r="F100">
        <v>0.83884880585616595</v>
      </c>
      <c r="G100">
        <v>1.49189460075687E-4</v>
      </c>
      <c r="H100">
        <v>4.1174784016646503E-2</v>
      </c>
      <c r="I100" t="str">
        <f>VLOOKUP(C100, Table1[[#All],[Entry]:[Length]], 5,FALSE)</f>
        <v>LOC116305302</v>
      </c>
      <c r="J100" t="str">
        <f>IF(C100= "NA", "", VLOOKUP(C100, Table1[[#All],[Entry]:[Length]], 5,FALSE))</f>
        <v>LOC116305302</v>
      </c>
    </row>
    <row r="101" spans="1:10" x14ac:dyDescent="0.25">
      <c r="A101" t="s">
        <v>7</v>
      </c>
      <c r="B101" t="s">
        <v>195</v>
      </c>
      <c r="C101" t="s">
        <v>196</v>
      </c>
      <c r="D101">
        <v>224.862881051844</v>
      </c>
      <c r="E101">
        <v>0.59357305943641603</v>
      </c>
      <c r="F101">
        <v>0.30237319387293998</v>
      </c>
      <c r="G101">
        <v>1.56064250372914E-4</v>
      </c>
      <c r="H101">
        <v>4.2641435129391198E-2</v>
      </c>
      <c r="I101" t="str">
        <f>VLOOKUP(C101, Table1[[#All],[Entry]:[Length]], 5,FALSE)</f>
        <v>LOC116307251</v>
      </c>
      <c r="J101" t="str">
        <f>IF(C101= "NA", "", VLOOKUP(C101, Table1[[#All],[Entry]:[Length]], 5,FALSE))</f>
        <v>LOC116307251</v>
      </c>
    </row>
    <row r="102" spans="1:10" x14ac:dyDescent="0.25">
      <c r="A102" t="s">
        <v>7</v>
      </c>
      <c r="B102" t="s">
        <v>197</v>
      </c>
      <c r="C102" t="s">
        <v>198</v>
      </c>
      <c r="D102">
        <v>702.75225280814595</v>
      </c>
      <c r="E102">
        <v>-0.73532036795273803</v>
      </c>
      <c r="F102">
        <v>0.40492843771501302</v>
      </c>
      <c r="G102">
        <v>1.5879700979812199E-4</v>
      </c>
      <c r="H102">
        <v>4.2958521769446402E-2</v>
      </c>
      <c r="I102" t="str">
        <f>VLOOKUP(C102, Table1[[#All],[Entry]:[Length]], 5,FALSE)</f>
        <v>LOC116287145</v>
      </c>
      <c r="J102" t="str">
        <f>IF(C102= "NA", "", VLOOKUP(C102, Table1[[#All],[Entry]:[Length]], 5,FALSE))</f>
        <v>LOC116287145</v>
      </c>
    </row>
    <row r="103" spans="1:10" x14ac:dyDescent="0.25">
      <c r="A103" t="s">
        <v>7</v>
      </c>
      <c r="B103" t="s">
        <v>199</v>
      </c>
      <c r="C103" t="s">
        <v>200</v>
      </c>
      <c r="D103">
        <v>1376.2194585741299</v>
      </c>
      <c r="E103">
        <v>0.83785293526004601</v>
      </c>
      <c r="F103">
        <v>0.56028673423851305</v>
      </c>
      <c r="G103">
        <v>1.61611028128585E-4</v>
      </c>
      <c r="H103">
        <v>4.3291158054483699E-2</v>
      </c>
      <c r="I103" t="str">
        <f>VLOOKUP(C103, Table1[[#All],[Entry]:[Length]], 5,FALSE)</f>
        <v>LOC116296508</v>
      </c>
      <c r="J103" t="str">
        <f>IF(C103= "NA", "", VLOOKUP(C103, Table1[[#All],[Entry]:[Length]], 5,FALSE))</f>
        <v>LOC116296508</v>
      </c>
    </row>
    <row r="104" spans="1:10" x14ac:dyDescent="0.25">
      <c r="A104" t="s">
        <v>7</v>
      </c>
      <c r="B104" t="s">
        <v>201</v>
      </c>
      <c r="C104" t="s">
        <v>202</v>
      </c>
      <c r="D104">
        <v>291.16722923022797</v>
      </c>
      <c r="E104">
        <v>-0.48906782816771899</v>
      </c>
      <c r="F104">
        <v>0.25134129636437402</v>
      </c>
      <c r="G104">
        <v>1.63357095488766E-4</v>
      </c>
      <c r="H104">
        <v>4.3334038058636497E-2</v>
      </c>
      <c r="I104" t="str">
        <f>VLOOKUP(C104, Table1[[#All],[Entry]:[Length]], 5,FALSE)</f>
        <v>LOC116306872</v>
      </c>
      <c r="J104" t="str">
        <f>IF(C104= "NA", "", VLOOKUP(C104, Table1[[#All],[Entry]:[Length]], 5,FALSE))</f>
        <v>LOC116306872</v>
      </c>
    </row>
    <row r="105" spans="1:10" x14ac:dyDescent="0.25">
      <c r="A105" t="s">
        <v>7</v>
      </c>
      <c r="B105" t="s">
        <v>203</v>
      </c>
      <c r="C105" t="s">
        <v>204</v>
      </c>
      <c r="D105">
        <v>76.049549645473107</v>
      </c>
      <c r="E105">
        <v>-0.82221141345343196</v>
      </c>
      <c r="F105">
        <v>0.67025501083188399</v>
      </c>
      <c r="G105">
        <v>1.69094516957021E-4</v>
      </c>
      <c r="H105">
        <v>4.44247066040067E-2</v>
      </c>
      <c r="I105" t="str">
        <f>VLOOKUP(C105, Table1[[#All],[Entry]:[Length]], 5,FALSE)</f>
        <v>LOC116307107</v>
      </c>
      <c r="J105" t="str">
        <f>IF(C105= "NA", "", VLOOKUP(C105, Table1[[#All],[Entry]:[Length]], 5,FALSE))</f>
        <v>LOC116307107</v>
      </c>
    </row>
    <row r="106" spans="1:10" x14ac:dyDescent="0.25">
      <c r="A106" t="s">
        <v>7</v>
      </c>
      <c r="B106" t="s">
        <v>205</v>
      </c>
      <c r="C106" t="s">
        <v>206</v>
      </c>
      <c r="D106">
        <v>252.71321861815699</v>
      </c>
      <c r="E106">
        <v>-0.81800546890982895</v>
      </c>
      <c r="F106">
        <v>0.66285719191428805</v>
      </c>
      <c r="G106">
        <v>1.7423826093796501E-4</v>
      </c>
      <c r="H106">
        <v>4.53401143200763E-2</v>
      </c>
      <c r="I106" t="str">
        <f>VLOOKUP(C106, Table1[[#All],[Entry]:[Length]], 5,FALSE)</f>
        <v>LOC116307323</v>
      </c>
      <c r="J106" t="str">
        <f>IF(C106= "NA", "", VLOOKUP(C106, Table1[[#All],[Entry]:[Length]], 5,FALSE))</f>
        <v>LOC116307323</v>
      </c>
    </row>
    <row r="107" spans="1:10" x14ac:dyDescent="0.25">
      <c r="A107" t="s">
        <v>7</v>
      </c>
      <c r="B107" t="s">
        <v>207</v>
      </c>
      <c r="C107" t="s">
        <v>154</v>
      </c>
      <c r="D107">
        <v>72.998391751311303</v>
      </c>
      <c r="E107">
        <v>0.814840723797986</v>
      </c>
      <c r="F107">
        <v>0.63714057356624398</v>
      </c>
      <c r="G107">
        <v>1.82325134215805E-4</v>
      </c>
      <c r="H107">
        <v>4.68888880901994E-2</v>
      </c>
      <c r="I107" t="str">
        <f>VLOOKUP(C107, Table1[[#All],[Entry]:[Length]], 5,FALSE)</f>
        <v>LOC116304503</v>
      </c>
      <c r="J107" t="str">
        <f>IF(C107= "NA", "", VLOOKUP(C107, Table1[[#All],[Entry]:[Length]], 5,FALSE))</f>
        <v>LOC116304503</v>
      </c>
    </row>
    <row r="108" spans="1:10" x14ac:dyDescent="0.25">
      <c r="A108" t="s">
        <v>7</v>
      </c>
      <c r="B108" t="s">
        <v>208</v>
      </c>
      <c r="C108" t="s">
        <v>209</v>
      </c>
      <c r="D108">
        <v>328.05464509433801</v>
      </c>
      <c r="E108">
        <v>0.64503573720581098</v>
      </c>
      <c r="F108">
        <v>0.35499569943989601</v>
      </c>
      <c r="G108">
        <v>1.83622260573558E-4</v>
      </c>
      <c r="H108">
        <v>4.68888880901994E-2</v>
      </c>
      <c r="I108" t="str">
        <f>VLOOKUP(C108, Table1[[#All],[Entry]:[Length]], 5,FALSE)</f>
        <v>LOC116290110</v>
      </c>
      <c r="J108" t="str">
        <f>IF(C108= "NA", "", VLOOKUP(C108, Table1[[#All],[Entry]:[Length]], 5,FALSE))</f>
        <v>LOC116290110</v>
      </c>
    </row>
    <row r="109" spans="1:10" x14ac:dyDescent="0.25">
      <c r="A109" t="s">
        <v>7</v>
      </c>
      <c r="B109" t="s">
        <v>210</v>
      </c>
      <c r="C109" t="s">
        <v>154</v>
      </c>
      <c r="D109">
        <v>68.377150485359905</v>
      </c>
      <c r="E109">
        <v>0.80434441380285804</v>
      </c>
      <c r="F109">
        <v>0.64010365542037795</v>
      </c>
      <c r="G109">
        <v>1.9026061871627801E-4</v>
      </c>
      <c r="H109">
        <v>4.7692576928301499E-2</v>
      </c>
      <c r="I109" t="str">
        <f>VLOOKUP(C109, Table1[[#All],[Entry]:[Length]], 5,FALSE)</f>
        <v>LOC116304503</v>
      </c>
      <c r="J109" t="str">
        <f>IF(C109= "NA", "", VLOOKUP(C109, Table1[[#All],[Entry]:[Length]], 5,FALSE))</f>
        <v>LOC116304503</v>
      </c>
    </row>
    <row r="110" spans="1:10" x14ac:dyDescent="0.25">
      <c r="A110" t="s">
        <v>7</v>
      </c>
      <c r="B110" t="s">
        <v>211</v>
      </c>
      <c r="C110" t="s">
        <v>212</v>
      </c>
      <c r="D110">
        <v>399.18049012296802</v>
      </c>
      <c r="E110">
        <v>-0.28320313778964101</v>
      </c>
      <c r="F110">
        <v>0.81730424804213897</v>
      </c>
      <c r="G110">
        <v>1.8879047648439999E-4</v>
      </c>
      <c r="H110">
        <v>4.7692576928301499E-2</v>
      </c>
      <c r="I110" t="str">
        <f>VLOOKUP(C110, Table1[[#All],[Entry]:[Length]], 5,FALSE)</f>
        <v>LOC116295585</v>
      </c>
      <c r="J110" t="str">
        <f>IF(C110= "NA", "", VLOOKUP(C110, Table1[[#All],[Entry]:[Length]], 5,FALSE))</f>
        <v>LOC116295585</v>
      </c>
    </row>
    <row r="111" spans="1:10" x14ac:dyDescent="0.25">
      <c r="A111" t="s">
        <v>7</v>
      </c>
      <c r="B111" t="s">
        <v>213</v>
      </c>
      <c r="C111" t="s">
        <v>214</v>
      </c>
      <c r="D111">
        <v>62.652465855276397</v>
      </c>
      <c r="E111">
        <v>-0.75155054196635895</v>
      </c>
      <c r="F111">
        <v>0.72129603945920795</v>
      </c>
      <c r="G111">
        <v>1.92670179770319E-4</v>
      </c>
      <c r="H111">
        <v>4.7857521107858403E-2</v>
      </c>
      <c r="I111" t="str">
        <f>VLOOKUP(C111, Table1[[#All],[Entry]:[Length]], 5,FALSE)</f>
        <v>LOC116292601</v>
      </c>
      <c r="J111" t="str">
        <f>IF(C111= "NA", "", VLOOKUP(C111, Table1[[#All],[Entry]:[Length]], 5,FALSE))</f>
        <v>LOC116292601</v>
      </c>
    </row>
    <row r="112" spans="1:10" x14ac:dyDescent="0.25">
      <c r="A112" t="s">
        <v>7</v>
      </c>
      <c r="B112" t="s">
        <v>215</v>
      </c>
      <c r="C112" t="s">
        <v>216</v>
      </c>
      <c r="D112">
        <v>39.350490375592301</v>
      </c>
      <c r="E112">
        <v>0.79693414231012405</v>
      </c>
      <c r="F112">
        <v>0.57405326843052196</v>
      </c>
      <c r="G112">
        <v>1.98341353039154E-4</v>
      </c>
      <c r="H112">
        <v>4.8288714128800002E-2</v>
      </c>
      <c r="I112" t="str">
        <f>VLOOKUP(C112, Table1[[#All],[Entry]:[Length]], 5,FALSE)</f>
        <v>LOC116296849</v>
      </c>
      <c r="J112" t="str">
        <f>IF(C112= "NA", "", VLOOKUP(C112, Table1[[#All],[Entry]:[Length]], 5,FALSE))</f>
        <v>LOC116296849</v>
      </c>
    </row>
    <row r="113" spans="1:10" x14ac:dyDescent="0.25">
      <c r="A113" t="s">
        <v>7</v>
      </c>
      <c r="B113" t="s">
        <v>217</v>
      </c>
      <c r="C113" t="s">
        <v>83</v>
      </c>
      <c r="D113">
        <v>26593.365735845498</v>
      </c>
      <c r="E113">
        <v>0.58959626951856003</v>
      </c>
      <c r="F113">
        <v>0.32816301639298601</v>
      </c>
      <c r="G113">
        <v>2.00362613803475E-4</v>
      </c>
      <c r="H113">
        <v>4.8288714128800002E-2</v>
      </c>
      <c r="I113" t="e">
        <f>VLOOKUP(C113, Table1[[#All],[Entry]:[Length]], 5,FALSE)</f>
        <v>#N/A</v>
      </c>
      <c r="J113" t="str">
        <f>IF(C113= "NA", "", VLOOKUP(C113, Table1[[#All],[Entry]:[Length]], 5,FALSE))</f>
        <v/>
      </c>
    </row>
    <row r="114" spans="1:10" x14ac:dyDescent="0.25">
      <c r="A114" t="s">
        <v>7</v>
      </c>
      <c r="B114" t="s">
        <v>218</v>
      </c>
      <c r="C114" t="s">
        <v>219</v>
      </c>
      <c r="D114">
        <v>30.974677238390001</v>
      </c>
      <c r="E114">
        <v>-0.53699461304585105</v>
      </c>
      <c r="F114">
        <v>0.78551371679766802</v>
      </c>
      <c r="G114">
        <v>2.0343145210207099E-4</v>
      </c>
      <c r="H114">
        <v>4.8288714128800002E-2</v>
      </c>
      <c r="I114" t="str">
        <f>VLOOKUP(C114, Table1[[#All],[Entry]:[Length]], 5,FALSE)</f>
        <v>LOC116290136</v>
      </c>
      <c r="J114" t="str">
        <f>IF(C114= "NA", "", VLOOKUP(C114, Table1[[#All],[Entry]:[Length]], 5,FALSE))</f>
        <v>LOC116290136</v>
      </c>
    </row>
    <row r="115" spans="1:10" x14ac:dyDescent="0.25">
      <c r="A115" t="s">
        <v>7</v>
      </c>
      <c r="B115" t="s">
        <v>220</v>
      </c>
      <c r="C115" t="s">
        <v>221</v>
      </c>
      <c r="D115">
        <v>467.16150196840999</v>
      </c>
      <c r="E115">
        <v>-0.52624766370741105</v>
      </c>
      <c r="F115">
        <v>0.78810581602274099</v>
      </c>
      <c r="G115">
        <v>2.0064793201392801E-4</v>
      </c>
      <c r="H115">
        <v>4.8288714128800002E-2</v>
      </c>
      <c r="I115" t="str">
        <f>VLOOKUP(C115, Table1[[#All],[Entry]:[Length]], 5,FALSE)</f>
        <v>LOC116290945</v>
      </c>
      <c r="J115" t="str">
        <f>IF(C115= "NA", "", VLOOKUP(C115, Table1[[#All],[Entry]:[Length]], 5,FALSE))</f>
        <v>LOC116290945</v>
      </c>
    </row>
    <row r="116" spans="1:10" x14ac:dyDescent="0.25">
      <c r="A116" t="s">
        <v>7</v>
      </c>
      <c r="B116" t="s">
        <v>222</v>
      </c>
      <c r="C116" t="s">
        <v>223</v>
      </c>
      <c r="D116">
        <v>978.63077654230904</v>
      </c>
      <c r="E116">
        <v>0.447114580583582</v>
      </c>
      <c r="F116">
        <v>0.78683607834841995</v>
      </c>
      <c r="G116">
        <v>2.02765933259418E-4</v>
      </c>
      <c r="H116">
        <v>4.8288714128800002E-2</v>
      </c>
      <c r="I116" t="str">
        <f>VLOOKUP(C116, Table1[[#All],[Entry]:[Length]], 5,FALSE)</f>
        <v>LOC116306956</v>
      </c>
      <c r="J116" t="str">
        <f>IF(C116= "NA", "", VLOOKUP(C116, Table1[[#All],[Entry]:[Length]], 5,FALSE))</f>
        <v>LOC116306956</v>
      </c>
    </row>
    <row r="117" spans="1:10" x14ac:dyDescent="0.25">
      <c r="A117" t="s">
        <v>7</v>
      </c>
      <c r="B117" t="s">
        <v>224</v>
      </c>
      <c r="C117" t="s">
        <v>225</v>
      </c>
      <c r="D117">
        <v>102.91145071618</v>
      </c>
      <c r="E117">
        <v>-0.20957275670960901</v>
      </c>
      <c r="F117">
        <v>0.81066939108594205</v>
      </c>
      <c r="G117">
        <v>2.05010095485152E-4</v>
      </c>
      <c r="H117">
        <v>4.8288714128800002E-2</v>
      </c>
      <c r="I117" t="str">
        <f>VLOOKUP(C117, Table1[[#All],[Entry]:[Length]], 5,FALSE)</f>
        <v>LOC116287411</v>
      </c>
      <c r="J117" t="str">
        <f>IF(C117= "NA", "", VLOOKUP(C117, Table1[[#All],[Entry]:[Length]], 5,FALSE))</f>
        <v>LOC116287411</v>
      </c>
    </row>
    <row r="118" spans="1:10" x14ac:dyDescent="0.25">
      <c r="A118" t="s">
        <v>7</v>
      </c>
      <c r="B118" t="s">
        <v>226</v>
      </c>
      <c r="C118" t="s">
        <v>227</v>
      </c>
      <c r="D118">
        <v>52.495980228168101</v>
      </c>
      <c r="E118">
        <v>-0.56842542045643396</v>
      </c>
      <c r="F118">
        <v>0.77871181460648997</v>
      </c>
      <c r="G118">
        <v>2.0935756306239399E-4</v>
      </c>
      <c r="H118">
        <v>4.8891253808151999E-2</v>
      </c>
      <c r="I118" t="str">
        <f>VLOOKUP(C118, Table1[[#All],[Entry]:[Length]], 5,FALSE)</f>
        <v>LOC116296086</v>
      </c>
      <c r="J118" t="str">
        <f>IF(C118= "NA", "", VLOOKUP(C118, Table1[[#All],[Entry]:[Length]], 5,FALSE))</f>
        <v>LOC116296086</v>
      </c>
    </row>
    <row r="119" spans="1:10" x14ac:dyDescent="0.25">
      <c r="A119" t="s">
        <v>7</v>
      </c>
      <c r="B119" t="s">
        <v>228</v>
      </c>
      <c r="C119" t="s">
        <v>95</v>
      </c>
      <c r="D119">
        <v>94.877695434458204</v>
      </c>
      <c r="E119">
        <v>0.78321674540328701</v>
      </c>
      <c r="F119">
        <v>0.59905822836312095</v>
      </c>
      <c r="G119">
        <v>2.1322590837086899E-4</v>
      </c>
      <c r="H119">
        <v>4.9371668128823501E-2</v>
      </c>
      <c r="I119" t="str">
        <f>VLOOKUP(C119, Table1[[#All],[Entry]:[Length]], 5,FALSE)</f>
        <v>PACLA_8A045298</v>
      </c>
      <c r="J119" t="str">
        <f>IF(C119= "NA", "", VLOOKUP(C119, Table1[[#All],[Entry]:[Length]], 5,FALSE))</f>
        <v>PACLA_8A045298</v>
      </c>
    </row>
    <row r="120" spans="1:10" x14ac:dyDescent="0.25">
      <c r="A120" t="s">
        <v>7</v>
      </c>
      <c r="B120" t="s">
        <v>229</v>
      </c>
      <c r="C120" t="s">
        <v>230</v>
      </c>
      <c r="D120">
        <v>302.96161273353903</v>
      </c>
      <c r="E120">
        <v>0.74724427755109502</v>
      </c>
      <c r="F120">
        <v>0.49052999191459401</v>
      </c>
      <c r="G120">
        <v>2.1502867574314601E-4</v>
      </c>
      <c r="H120">
        <v>4.9371668128823501E-2</v>
      </c>
      <c r="I120" t="str">
        <f>VLOOKUP(C120, Table1[[#All],[Entry]:[Length]], 5,FALSE)</f>
        <v>LOC116307630</v>
      </c>
      <c r="J120" t="str">
        <f>IF(C120= "NA", "", VLOOKUP(C120, Table1[[#All],[Entry]:[Length]], 5,FALSE))</f>
        <v>LOC116307630</v>
      </c>
    </row>
    <row r="121" spans="1:10" x14ac:dyDescent="0.25">
      <c r="A121" t="s">
        <v>7</v>
      </c>
      <c r="B121" t="s">
        <v>231</v>
      </c>
      <c r="C121" t="s">
        <v>232</v>
      </c>
      <c r="D121">
        <v>136.163877367749</v>
      </c>
      <c r="E121">
        <v>0.71584148412417603</v>
      </c>
      <c r="F121">
        <v>0.71877005264646299</v>
      </c>
      <c r="G121">
        <v>2.19248663497862E-4</v>
      </c>
      <c r="H121">
        <v>4.99210936062673E-2</v>
      </c>
      <c r="I121" t="str">
        <f>VLOOKUP(C121, Table1[[#All],[Entry]:[Length]], 5,FALSE)</f>
        <v>LOC116293465</v>
      </c>
      <c r="J121" t="str">
        <f>IF(C121= "NA", "", VLOOKUP(C121, Table1[[#All],[Entry]:[Length]], 5,FALSE))</f>
        <v>LOC116293465</v>
      </c>
    </row>
    <row r="122" spans="1:10" x14ac:dyDescent="0.25">
      <c r="A122" t="s">
        <v>7</v>
      </c>
      <c r="B122" t="s">
        <v>233</v>
      </c>
      <c r="C122" t="s">
        <v>234</v>
      </c>
      <c r="D122">
        <v>203.531262087963</v>
      </c>
      <c r="E122">
        <v>0.70350796756059397</v>
      </c>
      <c r="F122">
        <v>0.43982175100526799</v>
      </c>
      <c r="G122">
        <v>2.2153377873792299E-4</v>
      </c>
      <c r="H122">
        <v>5.00245242682337E-2</v>
      </c>
      <c r="I122" t="str">
        <f>VLOOKUP(C122, Table1[[#All],[Entry]:[Length]], 5,FALSE)</f>
        <v>LOC116305856</v>
      </c>
      <c r="J122" t="str">
        <f>IF(C122= "NA", "", VLOOKUP(C122, Table1[[#All],[Entry]:[Length]], 5,FALSE))</f>
        <v>LOC116305856</v>
      </c>
    </row>
    <row r="123" spans="1:10" x14ac:dyDescent="0.25">
      <c r="A123" t="s">
        <v>7</v>
      </c>
      <c r="B123" t="s">
        <v>235</v>
      </c>
      <c r="C123" t="s">
        <v>236</v>
      </c>
      <c r="D123">
        <v>2097.5264651665302</v>
      </c>
      <c r="E123">
        <v>-0.723539943277697</v>
      </c>
      <c r="F123">
        <v>0.46888853374434902</v>
      </c>
      <c r="G123">
        <v>2.2501917135268399E-4</v>
      </c>
      <c r="H123">
        <v>5.03950722858146E-2</v>
      </c>
      <c r="I123" t="str">
        <f>VLOOKUP(C123, Table1[[#All],[Entry]:[Length]], 5,FALSE)</f>
        <v>NEMVEDRAFT_v1g245995</v>
      </c>
      <c r="J123" t="str">
        <f>IF(C123= "NA", "", VLOOKUP(C123, Table1[[#All],[Entry]:[Length]], 5,FALSE))</f>
        <v>NEMVEDRAFT_v1g245995</v>
      </c>
    </row>
    <row r="124" spans="1:10" x14ac:dyDescent="0.25">
      <c r="A124" t="s">
        <v>7</v>
      </c>
      <c r="B124" t="s">
        <v>237</v>
      </c>
      <c r="C124" t="s">
        <v>238</v>
      </c>
      <c r="D124">
        <v>1122.5456875503301</v>
      </c>
      <c r="E124">
        <v>0.76564870722860201</v>
      </c>
      <c r="F124">
        <v>0.56360481747302504</v>
      </c>
      <c r="G124">
        <v>2.2710744927091701E-4</v>
      </c>
      <c r="H124">
        <v>5.0449242572595698E-2</v>
      </c>
      <c r="I124" t="str">
        <f>VLOOKUP(C124, Table1[[#All],[Entry]:[Length]], 5,FALSE)</f>
        <v>LOC116296512</v>
      </c>
      <c r="J124" t="str">
        <f>IF(C124= "NA", "", VLOOKUP(C124, Table1[[#All],[Entry]:[Length]], 5,FALSE))</f>
        <v>LOC116296512</v>
      </c>
    </row>
    <row r="125" spans="1:10" x14ac:dyDescent="0.25">
      <c r="A125" t="s">
        <v>7</v>
      </c>
      <c r="B125" t="s">
        <v>239</v>
      </c>
      <c r="C125" t="s">
        <v>240</v>
      </c>
      <c r="D125">
        <v>250.60305922168001</v>
      </c>
      <c r="E125">
        <v>-0.63811864249724404</v>
      </c>
      <c r="F125">
        <v>0.38388621062164302</v>
      </c>
      <c r="G125">
        <v>2.3058155543338E-4</v>
      </c>
      <c r="H125">
        <v>5.0807901928276097E-2</v>
      </c>
      <c r="I125" t="str">
        <f>VLOOKUP(C125, Table1[[#All],[Entry]:[Length]], 5,FALSE)</f>
        <v>LOC116294509</v>
      </c>
      <c r="J125" t="str">
        <f>IF(C125= "NA", "", VLOOKUP(C125, Table1[[#All],[Entry]:[Length]], 5,FALSE))</f>
        <v>LOC116294509</v>
      </c>
    </row>
    <row r="126" spans="1:10" x14ac:dyDescent="0.25">
      <c r="A126" t="s">
        <v>7</v>
      </c>
      <c r="B126" t="s">
        <v>241</v>
      </c>
      <c r="C126" t="s">
        <v>242</v>
      </c>
      <c r="D126">
        <v>11885.770927313501</v>
      </c>
      <c r="E126">
        <v>0.72321861440407398</v>
      </c>
      <c r="F126">
        <v>0.48187833885452502</v>
      </c>
      <c r="G126">
        <v>2.3533693921362701E-4</v>
      </c>
      <c r="H126">
        <v>5.1032628493126501E-2</v>
      </c>
      <c r="I126" t="str">
        <f>VLOOKUP(C126, Table1[[#All],[Entry]:[Length]], 5,FALSE)</f>
        <v>LOC116292747</v>
      </c>
      <c r="J126" t="str">
        <f>IF(C126= "NA", "", VLOOKUP(C126, Table1[[#All],[Entry]:[Length]], 5,FALSE))</f>
        <v>LOC116292747</v>
      </c>
    </row>
    <row r="127" spans="1:10" x14ac:dyDescent="0.25">
      <c r="A127" t="s">
        <v>7</v>
      </c>
      <c r="B127" t="s">
        <v>243</v>
      </c>
      <c r="C127" t="s">
        <v>244</v>
      </c>
      <c r="D127">
        <v>790.44991168516106</v>
      </c>
      <c r="E127">
        <v>-0.55396068935876996</v>
      </c>
      <c r="F127">
        <v>0.32346747711422802</v>
      </c>
      <c r="G127">
        <v>2.3385868988398399E-4</v>
      </c>
      <c r="H127">
        <v>5.1032628493126501E-2</v>
      </c>
      <c r="I127" t="str">
        <f>VLOOKUP(C127, Table1[[#All],[Entry]:[Length]], 5,FALSE)</f>
        <v>LOC116301850</v>
      </c>
      <c r="J127" t="str">
        <f>IF(C127= "NA", "", VLOOKUP(C127, Table1[[#All],[Entry]:[Length]], 5,FALSE))</f>
        <v>LOC116301850</v>
      </c>
    </row>
    <row r="128" spans="1:10" x14ac:dyDescent="0.25">
      <c r="A128" t="s">
        <v>7</v>
      </c>
      <c r="B128" t="s">
        <v>245</v>
      </c>
      <c r="C128" t="s">
        <v>246</v>
      </c>
      <c r="D128">
        <v>71.1685288231496</v>
      </c>
      <c r="E128">
        <v>0.58128818985202402</v>
      </c>
      <c r="F128">
        <v>0.756827860433128</v>
      </c>
      <c r="G128">
        <v>2.4089343622592601E-4</v>
      </c>
      <c r="H128">
        <v>5.1826231165362002E-2</v>
      </c>
      <c r="I128" t="str">
        <f>VLOOKUP(C128, Table1[[#All],[Entry]:[Length]], 5,FALSE)</f>
        <v>LOC116304698</v>
      </c>
      <c r="J128" t="str">
        <f>IF(C128= "NA", "", VLOOKUP(C128, Table1[[#All],[Entry]:[Length]], 5,FALSE))</f>
        <v>LOC116304698</v>
      </c>
    </row>
    <row r="129" spans="1:10" x14ac:dyDescent="0.25">
      <c r="A129" t="s">
        <v>7</v>
      </c>
      <c r="B129" t="s">
        <v>247</v>
      </c>
      <c r="C129" t="s">
        <v>99</v>
      </c>
      <c r="D129">
        <v>285.22554088237399</v>
      </c>
      <c r="E129">
        <v>0.74828331032626005</v>
      </c>
      <c r="F129">
        <v>0.59221047429652696</v>
      </c>
      <c r="G129">
        <v>2.49310235443917E-4</v>
      </c>
      <c r="H129">
        <v>5.3217996586204297E-2</v>
      </c>
      <c r="I129" t="str">
        <f>VLOOKUP(C129, Table1[[#All],[Entry]:[Length]], 5,FALSE)</f>
        <v>LOC116288275</v>
      </c>
      <c r="J129" t="str">
        <f>IF(C129= "NA", "", VLOOKUP(C129, Table1[[#All],[Entry]:[Length]], 5,FALSE))</f>
        <v>LOC116288275</v>
      </c>
    </row>
    <row r="130" spans="1:10" x14ac:dyDescent="0.25">
      <c r="A130" t="s">
        <v>7</v>
      </c>
      <c r="B130" t="s">
        <v>248</v>
      </c>
      <c r="C130" t="s">
        <v>249</v>
      </c>
      <c r="D130">
        <v>145.62583267559401</v>
      </c>
      <c r="E130">
        <v>0.73072112025009395</v>
      </c>
      <c r="F130">
        <v>0.64434554753107598</v>
      </c>
      <c r="G130">
        <v>2.5796218532255698E-4</v>
      </c>
      <c r="H130">
        <v>5.3803822821131497E-2</v>
      </c>
      <c r="I130" t="str">
        <f>VLOOKUP(C130, Table1[[#All],[Entry]:[Length]], 5,FALSE)</f>
        <v>LOC116298426</v>
      </c>
      <c r="J130" t="str">
        <f>IF(C130= "NA", "", VLOOKUP(C130, Table1[[#All],[Entry]:[Length]], 5,FALSE))</f>
        <v>LOC116298426</v>
      </c>
    </row>
    <row r="131" spans="1:10" x14ac:dyDescent="0.25">
      <c r="A131" t="s">
        <v>7</v>
      </c>
      <c r="B131" t="s">
        <v>250</v>
      </c>
      <c r="C131" t="s">
        <v>251</v>
      </c>
      <c r="D131">
        <v>2360.2835577155802</v>
      </c>
      <c r="E131">
        <v>0.487979021188644</v>
      </c>
      <c r="F131">
        <v>0.29232556146183197</v>
      </c>
      <c r="G131">
        <v>2.5649525552312997E-4</v>
      </c>
      <c r="H131">
        <v>5.3803822821131497E-2</v>
      </c>
      <c r="I131" t="str">
        <f>VLOOKUP(C131, Table1[[#All],[Entry]:[Length]], 5,FALSE)</f>
        <v>LOC116308105</v>
      </c>
      <c r="J131" t="str">
        <f>IF(C131= "NA", "", VLOOKUP(C131, Table1[[#All],[Entry]:[Length]], 5,FALSE))</f>
        <v>LOC116308105</v>
      </c>
    </row>
    <row r="132" spans="1:10" x14ac:dyDescent="0.25">
      <c r="A132" t="s">
        <v>7</v>
      </c>
      <c r="B132" t="s">
        <v>252</v>
      </c>
      <c r="C132" t="s">
        <v>253</v>
      </c>
      <c r="D132">
        <v>1604.64826652281</v>
      </c>
      <c r="E132">
        <v>-0.46755692509787</v>
      </c>
      <c r="F132">
        <v>0.280690835687604</v>
      </c>
      <c r="G132">
        <v>2.5763411918081801E-4</v>
      </c>
      <c r="H132">
        <v>5.3803822821131497E-2</v>
      </c>
      <c r="I132" t="str">
        <f>VLOOKUP(C132, Table1[[#All],[Entry]:[Length]], 5,FALSE)</f>
        <v>LOC116286442</v>
      </c>
      <c r="J132" t="str">
        <f>IF(C132= "NA", "", VLOOKUP(C132, Table1[[#All],[Entry]:[Length]], 5,FALSE))</f>
        <v>LOC116286442</v>
      </c>
    </row>
    <row r="133" spans="1:10" x14ac:dyDescent="0.25">
      <c r="A133" t="s">
        <v>7</v>
      </c>
      <c r="B133" t="s">
        <v>254</v>
      </c>
      <c r="C133" t="s">
        <v>255</v>
      </c>
      <c r="D133">
        <v>3753.79087181254</v>
      </c>
      <c r="E133">
        <v>0.50670164721988897</v>
      </c>
      <c r="F133">
        <v>0.30659992437733402</v>
      </c>
      <c r="G133">
        <v>2.6308032156891799E-4</v>
      </c>
      <c r="H133">
        <v>5.43166198192249E-2</v>
      </c>
      <c r="I133" t="str">
        <f>VLOOKUP(C133, Table1[[#All],[Entry]:[Length]], 5,FALSE)</f>
        <v>LOC116303329</v>
      </c>
      <c r="J133" t="str">
        <f>IF(C133= "NA", "", VLOOKUP(C133, Table1[[#All],[Entry]:[Length]], 5,FALSE))</f>
        <v>LOC116303329</v>
      </c>
    </row>
    <row r="134" spans="1:10" x14ac:dyDescent="0.25">
      <c r="A134" t="s">
        <v>7</v>
      </c>
      <c r="B134" t="s">
        <v>256</v>
      </c>
      <c r="C134" t="s">
        <v>257</v>
      </c>
      <c r="D134">
        <v>569.42907355121201</v>
      </c>
      <c r="E134">
        <v>0.44156786041236901</v>
      </c>
      <c r="F134">
        <v>0.26824834303394501</v>
      </c>
      <c r="G134">
        <v>2.6439667810844003E-4</v>
      </c>
      <c r="H134">
        <v>5.43166198192249E-2</v>
      </c>
      <c r="I134" t="str">
        <f>VLOOKUP(C134, Table1[[#All],[Entry]:[Length]], 5,FALSE)</f>
        <v>LOC116294819</v>
      </c>
      <c r="J134" t="str">
        <f>IF(C134= "NA", "", VLOOKUP(C134, Table1[[#All],[Entry]:[Length]], 5,FALSE))</f>
        <v>LOC116294819</v>
      </c>
    </row>
    <row r="135" spans="1:10" x14ac:dyDescent="0.25">
      <c r="A135" t="s">
        <v>7</v>
      </c>
      <c r="B135" t="s">
        <v>258</v>
      </c>
      <c r="C135" t="s">
        <v>255</v>
      </c>
      <c r="D135">
        <v>3989.8825951555</v>
      </c>
      <c r="E135">
        <v>0.497792339966594</v>
      </c>
      <c r="F135">
        <v>0.30285454706545401</v>
      </c>
      <c r="G135">
        <v>2.6757851818684302E-4</v>
      </c>
      <c r="H135">
        <v>5.4560058600142701E-2</v>
      </c>
      <c r="I135" t="str">
        <f>VLOOKUP(C135, Table1[[#All],[Entry]:[Length]], 5,FALSE)</f>
        <v>LOC116303329</v>
      </c>
      <c r="J135" t="str">
        <f>IF(C135= "NA", "", VLOOKUP(C135, Table1[[#All],[Entry]:[Length]], 5,FALSE))</f>
        <v>LOC116303329</v>
      </c>
    </row>
    <row r="136" spans="1:10" x14ac:dyDescent="0.25">
      <c r="A136" t="s">
        <v>7</v>
      </c>
      <c r="B136" t="s">
        <v>259</v>
      </c>
      <c r="C136" t="s">
        <v>260</v>
      </c>
      <c r="D136">
        <v>315.95158862305101</v>
      </c>
      <c r="E136">
        <v>0.71986879314678798</v>
      </c>
      <c r="F136">
        <v>0.54470186464311199</v>
      </c>
      <c r="G136">
        <v>2.7496660412059602E-4</v>
      </c>
      <c r="H136">
        <v>5.4621886384512999E-2</v>
      </c>
      <c r="I136" t="str">
        <f>VLOOKUP(C136, Table1[[#All],[Entry]:[Length]], 5,FALSE)</f>
        <v>LOC116299669</v>
      </c>
      <c r="J136" t="str">
        <f>IF(C136= "NA", "", VLOOKUP(C136, Table1[[#All],[Entry]:[Length]], 5,FALSE))</f>
        <v>LOC116299669</v>
      </c>
    </row>
    <row r="137" spans="1:10" x14ac:dyDescent="0.25">
      <c r="A137" t="s">
        <v>7</v>
      </c>
      <c r="B137" t="s">
        <v>261</v>
      </c>
      <c r="C137" t="s">
        <v>262</v>
      </c>
      <c r="D137">
        <v>177.18873380943199</v>
      </c>
      <c r="E137">
        <v>0.70864340115390601</v>
      </c>
      <c r="F137">
        <v>0.50598885312406905</v>
      </c>
      <c r="G137">
        <v>2.6992960608914401E-4</v>
      </c>
      <c r="H137">
        <v>5.4621886384512999E-2</v>
      </c>
      <c r="I137" t="str">
        <f>VLOOKUP(C137, Table1[[#All],[Entry]:[Length]], 5,FALSE)</f>
        <v>LOC116294827</v>
      </c>
      <c r="J137" t="str">
        <f>IF(C137= "NA", "", VLOOKUP(C137, Table1[[#All],[Entry]:[Length]], 5,FALSE))</f>
        <v>LOC116294827</v>
      </c>
    </row>
    <row r="138" spans="1:10" x14ac:dyDescent="0.25">
      <c r="A138" t="s">
        <v>7</v>
      </c>
      <c r="B138" t="s">
        <v>263</v>
      </c>
      <c r="C138" t="s">
        <v>264</v>
      </c>
      <c r="D138">
        <v>5509.4996546926704</v>
      </c>
      <c r="E138">
        <v>-0.61408593888861396</v>
      </c>
      <c r="F138">
        <v>0.39328053015461101</v>
      </c>
      <c r="G138">
        <v>2.7587820960592899E-4</v>
      </c>
      <c r="H138">
        <v>5.4621886384512999E-2</v>
      </c>
      <c r="I138" t="str">
        <f>VLOOKUP(C138, Table1[[#All],[Entry]:[Length]], 5,FALSE)</f>
        <v>LOC116293586</v>
      </c>
      <c r="J138" t="str">
        <f>IF(C138= "NA", "", VLOOKUP(C138, Table1[[#All],[Entry]:[Length]], 5,FALSE))</f>
        <v>LOC116293586</v>
      </c>
    </row>
    <row r="139" spans="1:10" x14ac:dyDescent="0.25">
      <c r="A139" t="s">
        <v>7</v>
      </c>
      <c r="B139" t="s">
        <v>265</v>
      </c>
      <c r="C139" t="s">
        <v>83</v>
      </c>
      <c r="D139">
        <v>845.80406595919203</v>
      </c>
      <c r="E139">
        <v>0.60128040492294399</v>
      </c>
      <c r="F139">
        <v>0.38070678358187698</v>
      </c>
      <c r="G139">
        <v>2.73773629467112E-4</v>
      </c>
      <c r="H139">
        <v>5.4621886384512999E-2</v>
      </c>
      <c r="I139" t="e">
        <f>VLOOKUP(C139, Table1[[#All],[Entry]:[Length]], 5,FALSE)</f>
        <v>#N/A</v>
      </c>
      <c r="J139" t="str">
        <f>IF(C139= "NA", "", VLOOKUP(C139, Table1[[#All],[Entry]:[Length]], 5,FALSE))</f>
        <v/>
      </c>
    </row>
    <row r="140" spans="1:10" x14ac:dyDescent="0.25">
      <c r="A140" t="s">
        <v>7</v>
      </c>
      <c r="B140" t="s">
        <v>266</v>
      </c>
      <c r="C140" t="s">
        <v>267</v>
      </c>
      <c r="D140">
        <v>17534.3798059933</v>
      </c>
      <c r="E140">
        <v>-0.71488011157130404</v>
      </c>
      <c r="F140">
        <v>0.59020303282557396</v>
      </c>
      <c r="G140">
        <v>2.8936508325812102E-4</v>
      </c>
      <c r="H140">
        <v>5.5678325139870699E-2</v>
      </c>
      <c r="I140" t="str">
        <f>VLOOKUP(C140, Table1[[#All],[Entry]:[Length]], 5,FALSE)</f>
        <v/>
      </c>
      <c r="J140" t="str">
        <f>IF(C140= "NA", "", VLOOKUP(C140, Table1[[#All],[Entry]:[Length]], 5,FALSE))</f>
        <v/>
      </c>
    </row>
    <row r="141" spans="1:10" x14ac:dyDescent="0.25">
      <c r="A141" t="s">
        <v>7</v>
      </c>
      <c r="B141" t="s">
        <v>268</v>
      </c>
      <c r="C141" t="s">
        <v>269</v>
      </c>
      <c r="D141">
        <v>140.54913629045899</v>
      </c>
      <c r="E141">
        <v>0.71260288631175095</v>
      </c>
      <c r="F141">
        <v>0.558552335464502</v>
      </c>
      <c r="G141">
        <v>2.8870464014980099E-4</v>
      </c>
      <c r="H141">
        <v>5.5678325139870699E-2</v>
      </c>
      <c r="I141" t="str">
        <f>VLOOKUP(C141, Table1[[#All],[Entry]:[Length]], 5,FALSE)</f>
        <v>LOC116296498</v>
      </c>
      <c r="J141" t="str">
        <f>IF(C141= "NA", "", VLOOKUP(C141, Table1[[#All],[Entry]:[Length]], 5,FALSE))</f>
        <v>LOC116296498</v>
      </c>
    </row>
    <row r="142" spans="1:10" x14ac:dyDescent="0.25">
      <c r="A142" t="s">
        <v>7</v>
      </c>
      <c r="B142" t="s">
        <v>270</v>
      </c>
      <c r="C142" t="s">
        <v>83</v>
      </c>
      <c r="D142">
        <v>1742.30869884512</v>
      </c>
      <c r="E142">
        <v>0.62324289381356901</v>
      </c>
      <c r="F142">
        <v>0.40915279702520102</v>
      </c>
      <c r="G142">
        <v>2.8687010424971199E-4</v>
      </c>
      <c r="H142">
        <v>5.5678325139870699E-2</v>
      </c>
      <c r="I142" t="e">
        <f>VLOOKUP(C142, Table1[[#All],[Entry]:[Length]], 5,FALSE)</f>
        <v>#N/A</v>
      </c>
      <c r="J142" t="str">
        <f>IF(C142= "NA", "", VLOOKUP(C142, Table1[[#All],[Entry]:[Length]], 5,FALSE))</f>
        <v/>
      </c>
    </row>
    <row r="143" spans="1:10" x14ac:dyDescent="0.25">
      <c r="A143" t="s">
        <v>7</v>
      </c>
      <c r="B143" t="s">
        <v>271</v>
      </c>
      <c r="C143" t="s">
        <v>272</v>
      </c>
      <c r="D143">
        <v>136.20303441704201</v>
      </c>
      <c r="E143">
        <v>0.59876765830930301</v>
      </c>
      <c r="F143">
        <v>0.38552008966659101</v>
      </c>
      <c r="G143">
        <v>2.8555133232482103E-4</v>
      </c>
      <c r="H143">
        <v>5.5678325139870699E-2</v>
      </c>
      <c r="I143" t="str">
        <f>VLOOKUP(C143, Table1[[#All],[Entry]:[Length]], 5,FALSE)</f>
        <v>LOC116291170</v>
      </c>
      <c r="J143" t="str">
        <f>IF(C143= "NA", "", VLOOKUP(C143, Table1[[#All],[Entry]:[Length]], 5,FALSE))</f>
        <v>LOC116291170</v>
      </c>
    </row>
    <row r="144" spans="1:10" x14ac:dyDescent="0.25">
      <c r="A144" t="s">
        <v>7</v>
      </c>
      <c r="B144" t="s">
        <v>273</v>
      </c>
      <c r="C144" t="s">
        <v>274</v>
      </c>
      <c r="D144">
        <v>45.127034845301203</v>
      </c>
      <c r="E144">
        <v>-0.55809618824266205</v>
      </c>
      <c r="F144">
        <v>0.73336353971794599</v>
      </c>
      <c r="G144">
        <v>2.9200779879168102E-4</v>
      </c>
      <c r="H144">
        <v>5.5793909695000803E-2</v>
      </c>
      <c r="I144" t="str">
        <f>VLOOKUP(C144, Table1[[#All],[Entry]:[Length]], 5,FALSE)</f>
        <v>LOC116297293</v>
      </c>
      <c r="J144" t="str">
        <f>IF(C144= "NA", "", VLOOKUP(C144, Table1[[#All],[Entry]:[Length]], 5,FALSE))</f>
        <v>LOC116297293</v>
      </c>
    </row>
    <row r="145" spans="1:10" x14ac:dyDescent="0.25">
      <c r="A145" t="s">
        <v>7</v>
      </c>
      <c r="B145" t="s">
        <v>275</v>
      </c>
      <c r="C145" t="s">
        <v>276</v>
      </c>
      <c r="D145">
        <v>1030.02188325783</v>
      </c>
      <c r="E145">
        <v>-0.67487941154369602</v>
      </c>
      <c r="F145">
        <v>0.48119529818513401</v>
      </c>
      <c r="G145">
        <v>2.97197754882214E-4</v>
      </c>
      <c r="H145">
        <v>5.6218281019475902E-2</v>
      </c>
      <c r="I145" t="str">
        <f>VLOOKUP(C145, Table1[[#All],[Entry]:[Length]], 5,FALSE)</f>
        <v>LOC116304158</v>
      </c>
      <c r="J145" t="str">
        <f>IF(C145= "NA", "", VLOOKUP(C145, Table1[[#All],[Entry]:[Length]], 5,FALSE))</f>
        <v>LOC116304158</v>
      </c>
    </row>
    <row r="146" spans="1:10" x14ac:dyDescent="0.25">
      <c r="A146" t="s">
        <v>7</v>
      </c>
      <c r="B146" t="s">
        <v>277</v>
      </c>
      <c r="C146" t="s">
        <v>278</v>
      </c>
      <c r="D146">
        <v>81.095762219428806</v>
      </c>
      <c r="E146">
        <v>-0.61357436015297495</v>
      </c>
      <c r="F146">
        <v>0.71506589167357903</v>
      </c>
      <c r="G146">
        <v>2.9834391347304499E-4</v>
      </c>
      <c r="H146">
        <v>5.6218281019475902E-2</v>
      </c>
      <c r="I146" t="str">
        <f>VLOOKUP(C146, Table1[[#All],[Entry]:[Length]], 5,FALSE)</f>
        <v>LOC116291466</v>
      </c>
      <c r="J146" t="str">
        <f>IF(C146= "NA", "", VLOOKUP(C146, Table1[[#All],[Entry]:[Length]], 5,FALSE))</f>
        <v>LOC116291466</v>
      </c>
    </row>
    <row r="147" spans="1:10" x14ac:dyDescent="0.25">
      <c r="A147" t="s">
        <v>7</v>
      </c>
      <c r="B147" t="s">
        <v>279</v>
      </c>
      <c r="C147" t="s">
        <v>280</v>
      </c>
      <c r="D147">
        <v>16025.16656023</v>
      </c>
      <c r="E147">
        <v>0.49200654911666802</v>
      </c>
      <c r="F147">
        <v>0.31279520833326702</v>
      </c>
      <c r="G147">
        <v>3.02227576227658E-4</v>
      </c>
      <c r="H147">
        <v>5.65600278443033E-2</v>
      </c>
      <c r="I147" t="str">
        <f>VLOOKUP(C147, Table1[[#All],[Entry]:[Length]], 5,FALSE)</f>
        <v>KTx</v>
      </c>
      <c r="J147" t="str">
        <f>IF(C147= "NA", "", VLOOKUP(C147, Table1[[#All],[Entry]:[Length]], 5,FALSE))</f>
        <v>KTx</v>
      </c>
    </row>
    <row r="148" spans="1:10" x14ac:dyDescent="0.25">
      <c r="A148" t="s">
        <v>7</v>
      </c>
      <c r="B148" t="s">
        <v>281</v>
      </c>
      <c r="C148" t="s">
        <v>110</v>
      </c>
      <c r="D148">
        <v>1591.13709008307</v>
      </c>
      <c r="E148">
        <v>0.69111970697698599</v>
      </c>
      <c r="F148">
        <v>0.52457243180639401</v>
      </c>
      <c r="G148">
        <v>3.0510443982678399E-4</v>
      </c>
      <c r="H148">
        <v>5.6709990540049E-2</v>
      </c>
      <c r="I148" t="str">
        <f>VLOOKUP(C148, Table1[[#All],[Entry]:[Length]], 5,FALSE)</f>
        <v>LOC116295161</v>
      </c>
      <c r="J148" t="str">
        <f>IF(C148= "NA", "", VLOOKUP(C148, Table1[[#All],[Entry]:[Length]], 5,FALSE))</f>
        <v>LOC116295161</v>
      </c>
    </row>
    <row r="149" spans="1:10" x14ac:dyDescent="0.25">
      <c r="A149" t="s">
        <v>7</v>
      </c>
      <c r="B149" t="s">
        <v>282</v>
      </c>
      <c r="C149" t="s">
        <v>283</v>
      </c>
      <c r="D149">
        <v>2082.0960130254398</v>
      </c>
      <c r="E149">
        <v>0.65823897822218602</v>
      </c>
      <c r="F149">
        <v>0.47360044284545899</v>
      </c>
      <c r="G149">
        <v>3.1490384281582598E-4</v>
      </c>
      <c r="H149">
        <v>5.7745756357428402E-2</v>
      </c>
      <c r="I149" t="str">
        <f>VLOOKUP(C149, Table1[[#All],[Entry]:[Length]], 5,FALSE)</f>
        <v>LOC116295731</v>
      </c>
      <c r="J149" t="str">
        <f>IF(C149= "NA", "", VLOOKUP(C149, Table1[[#All],[Entry]:[Length]], 5,FALSE))</f>
        <v>LOC116295731</v>
      </c>
    </row>
    <row r="150" spans="1:10" x14ac:dyDescent="0.25">
      <c r="A150" t="s">
        <v>7</v>
      </c>
      <c r="B150" t="s">
        <v>284</v>
      </c>
      <c r="C150" t="s">
        <v>285</v>
      </c>
      <c r="D150">
        <v>208.187582643144</v>
      </c>
      <c r="E150">
        <v>-0.656307927578067</v>
      </c>
      <c r="F150">
        <v>0.67844340066067199</v>
      </c>
      <c r="G150">
        <v>3.1282294853677601E-4</v>
      </c>
      <c r="H150">
        <v>5.7745756357428402E-2</v>
      </c>
      <c r="I150" t="str">
        <f>VLOOKUP(C150, Table1[[#All],[Entry]:[Length]], 5,FALSE)</f>
        <v/>
      </c>
      <c r="J150" t="str">
        <f>IF(C150= "NA", "", VLOOKUP(C150, Table1[[#All],[Entry]:[Length]], 5,FALSE))</f>
        <v/>
      </c>
    </row>
    <row r="151" spans="1:10" x14ac:dyDescent="0.25">
      <c r="A151" t="s">
        <v>7</v>
      </c>
      <c r="B151" t="s">
        <v>286</v>
      </c>
      <c r="C151" t="s">
        <v>287</v>
      </c>
      <c r="D151">
        <v>139.88598572681599</v>
      </c>
      <c r="E151">
        <v>-0.210208335424314</v>
      </c>
      <c r="F151">
        <v>0.68905563325260799</v>
      </c>
      <c r="G151">
        <v>3.1795499525514703E-4</v>
      </c>
      <c r="H151">
        <v>5.79165622357092E-2</v>
      </c>
      <c r="I151" t="str">
        <f>VLOOKUP(C151, Table1[[#All],[Entry]:[Length]], 5,FALSE)</f>
        <v>LOC116308748</v>
      </c>
      <c r="J151" t="str">
        <f>IF(C151= "NA", "", VLOOKUP(C151, Table1[[#All],[Entry]:[Length]], 5,FALSE))</f>
        <v>LOC116308748</v>
      </c>
    </row>
    <row r="152" spans="1:10" x14ac:dyDescent="0.25">
      <c r="A152" t="s">
        <v>7</v>
      </c>
      <c r="B152" t="s">
        <v>288</v>
      </c>
      <c r="C152" t="s">
        <v>289</v>
      </c>
      <c r="D152">
        <v>18781.5853248239</v>
      </c>
      <c r="E152">
        <v>0.547933656434478</v>
      </c>
      <c r="F152">
        <v>0.36305339037073298</v>
      </c>
      <c r="G152">
        <v>3.2471938482256602E-4</v>
      </c>
      <c r="H152">
        <v>5.8757004976867297E-2</v>
      </c>
      <c r="I152" t="str">
        <f>VLOOKUP(C152, Table1[[#All],[Entry]:[Length]], 5,FALSE)</f>
        <v>LOC116297518</v>
      </c>
      <c r="J152" t="str">
        <f>IF(C152= "NA", "", VLOOKUP(C152, Table1[[#All],[Entry]:[Length]], 5,FALSE))</f>
        <v>LOC116297518</v>
      </c>
    </row>
    <row r="153" spans="1:10" x14ac:dyDescent="0.25">
      <c r="A153" t="s">
        <v>7</v>
      </c>
      <c r="B153" t="s">
        <v>290</v>
      </c>
      <c r="C153" t="s">
        <v>291</v>
      </c>
      <c r="D153">
        <v>118.110628609749</v>
      </c>
      <c r="E153">
        <v>0.66744890257634704</v>
      </c>
      <c r="F153">
        <v>0.64816379951795899</v>
      </c>
      <c r="G153">
        <v>3.2929696677490701E-4</v>
      </c>
      <c r="H153">
        <v>5.91932962052025E-2</v>
      </c>
      <c r="I153" t="str">
        <f>VLOOKUP(C153, Table1[[#All],[Entry]:[Length]], 5,FALSE)</f>
        <v>LOC116289548</v>
      </c>
      <c r="J153" t="str">
        <f>IF(C153= "NA", "", VLOOKUP(C153, Table1[[#All],[Entry]:[Length]], 5,FALSE))</f>
        <v>LOC116289548</v>
      </c>
    </row>
    <row r="154" spans="1:10" x14ac:dyDescent="0.25">
      <c r="A154" t="s">
        <v>7</v>
      </c>
      <c r="B154" t="s">
        <v>292</v>
      </c>
      <c r="C154" t="s">
        <v>293</v>
      </c>
      <c r="D154">
        <v>510.610865302082</v>
      </c>
      <c r="E154">
        <v>0.61686543896872004</v>
      </c>
      <c r="F154">
        <v>0.43331359033677003</v>
      </c>
      <c r="G154">
        <v>3.3253075394921701E-4</v>
      </c>
      <c r="H154">
        <v>5.9383907125192599E-2</v>
      </c>
      <c r="I154" t="str">
        <f>VLOOKUP(C154, Table1[[#All],[Entry]:[Length]], 5,FALSE)</f>
        <v>LOC116308500</v>
      </c>
      <c r="J154" t="str">
        <f>IF(C154= "NA", "", VLOOKUP(C154, Table1[[#All],[Entry]:[Length]], 5,FALSE))</f>
        <v>LOC116308500</v>
      </c>
    </row>
    <row r="155" spans="1:10" x14ac:dyDescent="0.25">
      <c r="A155" t="s">
        <v>7</v>
      </c>
      <c r="B155" t="s">
        <v>294</v>
      </c>
      <c r="C155" t="s">
        <v>295</v>
      </c>
      <c r="D155">
        <v>33.983242180391798</v>
      </c>
      <c r="E155">
        <v>0.66209286534915501</v>
      </c>
      <c r="F155">
        <v>0.64937753047031199</v>
      </c>
      <c r="G155">
        <v>3.3510598016822202E-4</v>
      </c>
      <c r="H155">
        <v>5.9455199325560502E-2</v>
      </c>
      <c r="I155" t="str">
        <f>VLOOKUP(C155, Table1[[#All],[Entry]:[Length]], 5,FALSE)</f>
        <v>NEMVEDRAFT_v1g202038</v>
      </c>
      <c r="J155" t="str">
        <f>IF(C155= "NA", "", VLOOKUP(C155, Table1[[#All],[Entry]:[Length]], 5,FALSE))</f>
        <v>NEMVEDRAFT_v1g202038</v>
      </c>
    </row>
    <row r="156" spans="1:10" x14ac:dyDescent="0.25">
      <c r="A156" t="s">
        <v>7</v>
      </c>
      <c r="B156" t="s">
        <v>296</v>
      </c>
      <c r="C156" t="s">
        <v>297</v>
      </c>
      <c r="D156">
        <v>804.60126176414201</v>
      </c>
      <c r="E156">
        <v>0.495912198520849</v>
      </c>
      <c r="F156">
        <v>0.330142511636491</v>
      </c>
      <c r="G156">
        <v>3.4120304909673101E-4</v>
      </c>
      <c r="H156">
        <v>6.01463929707741E-2</v>
      </c>
      <c r="I156" t="str">
        <f>VLOOKUP(C156, Table1[[#All],[Entry]:[Length]], 5,FALSE)</f>
        <v>LOC116302296</v>
      </c>
      <c r="J156" t="str">
        <f>IF(C156= "NA", "", VLOOKUP(C156, Table1[[#All],[Entry]:[Length]], 5,FALSE))</f>
        <v>LOC116302296</v>
      </c>
    </row>
    <row r="157" spans="1:10" x14ac:dyDescent="0.25">
      <c r="A157" t="s">
        <v>7</v>
      </c>
      <c r="B157" t="s">
        <v>298</v>
      </c>
      <c r="C157" t="s">
        <v>299</v>
      </c>
      <c r="D157">
        <v>451.38312855612702</v>
      </c>
      <c r="E157">
        <v>-0.49697836415927399</v>
      </c>
      <c r="F157">
        <v>0.33202681771467801</v>
      </c>
      <c r="G157">
        <v>3.4420050299816403E-4</v>
      </c>
      <c r="H157">
        <v>6.0285835534736203E-2</v>
      </c>
      <c r="I157" t="str">
        <f>VLOOKUP(C157, Table1[[#All],[Entry]:[Length]], 5,FALSE)</f>
        <v>LOC116288075</v>
      </c>
      <c r="J157" t="str">
        <f>IF(C157= "NA", "", VLOOKUP(C157, Table1[[#All],[Entry]:[Length]], 5,FALSE))</f>
        <v>LOC116288075</v>
      </c>
    </row>
    <row r="158" spans="1:10" x14ac:dyDescent="0.25">
      <c r="A158" t="s">
        <v>7</v>
      </c>
      <c r="B158" t="s">
        <v>300</v>
      </c>
      <c r="C158" t="s">
        <v>301</v>
      </c>
      <c r="D158">
        <v>1022.62564098761</v>
      </c>
      <c r="E158">
        <v>-0.52255566155713395</v>
      </c>
      <c r="F158">
        <v>0.35368664347532303</v>
      </c>
      <c r="G158">
        <v>3.4999680667951397E-4</v>
      </c>
      <c r="H158">
        <v>6.0910590757352598E-2</v>
      </c>
      <c r="I158" t="str">
        <f>VLOOKUP(C158, Table1[[#All],[Entry]:[Length]], 5,FALSE)</f>
        <v>LOC116297843</v>
      </c>
      <c r="J158" t="str">
        <f>IF(C158= "NA", "", VLOOKUP(C158, Table1[[#All],[Entry]:[Length]], 5,FALSE))</f>
        <v>LOC116297843</v>
      </c>
    </row>
    <row r="159" spans="1:10" x14ac:dyDescent="0.25">
      <c r="A159" t="s">
        <v>7</v>
      </c>
      <c r="B159" t="s">
        <v>302</v>
      </c>
      <c r="C159" t="s">
        <v>303</v>
      </c>
      <c r="D159">
        <v>46.792533597814298</v>
      </c>
      <c r="E159">
        <v>-0.66994761534079506</v>
      </c>
      <c r="F159">
        <v>0.57669564404261497</v>
      </c>
      <c r="G159">
        <v>3.5353031993305001E-4</v>
      </c>
      <c r="H159">
        <v>6.1078377922118503E-2</v>
      </c>
      <c r="I159" t="str">
        <f>VLOOKUP(C159, Table1[[#All],[Entry]:[Length]], 5,FALSE)</f>
        <v>PACLA_8A078053</v>
      </c>
      <c r="J159" t="str">
        <f>IF(C159= "NA", "", VLOOKUP(C159, Table1[[#All],[Entry]:[Length]], 5,FALSE))</f>
        <v>PACLA_8A078053</v>
      </c>
    </row>
    <row r="160" spans="1:10" x14ac:dyDescent="0.25">
      <c r="A160" t="s">
        <v>7</v>
      </c>
      <c r="B160" t="s">
        <v>304</v>
      </c>
      <c r="C160" t="s">
        <v>305</v>
      </c>
      <c r="D160">
        <v>23.5542540981569</v>
      </c>
      <c r="E160">
        <v>-0.64409421371507003</v>
      </c>
      <c r="F160">
        <v>0.65251338408673898</v>
      </c>
      <c r="G160">
        <v>3.5543176406751999E-4</v>
      </c>
      <c r="H160">
        <v>6.1078377922118503E-2</v>
      </c>
      <c r="I160" t="str">
        <f>VLOOKUP(C160, Table1[[#All],[Entry]:[Length]], 5,FALSE)</f>
        <v>LOC116295342</v>
      </c>
      <c r="J160" t="str">
        <f>IF(C160= "NA", "", VLOOKUP(C160, Table1[[#All],[Entry]:[Length]], 5,FALSE))</f>
        <v>LOC116295342</v>
      </c>
    </row>
    <row r="161" spans="1:10" x14ac:dyDescent="0.25">
      <c r="A161" t="s">
        <v>7</v>
      </c>
      <c r="B161" t="s">
        <v>306</v>
      </c>
      <c r="C161" t="s">
        <v>194</v>
      </c>
      <c r="D161">
        <v>51.8089889282247</v>
      </c>
      <c r="E161">
        <v>0.64789256233713</v>
      </c>
      <c r="F161">
        <v>0.64105551567124497</v>
      </c>
      <c r="G161">
        <v>3.6104833634904003E-4</v>
      </c>
      <c r="H161">
        <v>6.1655773087905201E-2</v>
      </c>
      <c r="I161" t="str">
        <f>VLOOKUP(C161, Table1[[#All],[Entry]:[Length]], 5,FALSE)</f>
        <v>LOC116305302</v>
      </c>
      <c r="J161" t="str">
        <f>IF(C161= "NA", "", VLOOKUP(C161, Table1[[#All],[Entry]:[Length]], 5,FALSE))</f>
        <v>LOC116305302</v>
      </c>
    </row>
    <row r="162" spans="1:10" x14ac:dyDescent="0.25">
      <c r="A162" t="s">
        <v>7</v>
      </c>
      <c r="B162" t="s">
        <v>307</v>
      </c>
      <c r="C162" t="s">
        <v>154</v>
      </c>
      <c r="D162">
        <v>40.248581513891303</v>
      </c>
      <c r="E162">
        <v>0.61612754046498996</v>
      </c>
      <c r="F162">
        <v>0.66208198222854497</v>
      </c>
      <c r="G162">
        <v>3.80164107373008E-4</v>
      </c>
      <c r="H162">
        <v>6.3878777947399296E-2</v>
      </c>
      <c r="I162" t="str">
        <f>VLOOKUP(C162, Table1[[#All],[Entry]:[Length]], 5,FALSE)</f>
        <v>LOC116304503</v>
      </c>
      <c r="J162" t="str">
        <f>IF(C162= "NA", "", VLOOKUP(C162, Table1[[#All],[Entry]:[Length]], 5,FALSE))</f>
        <v>LOC116304503</v>
      </c>
    </row>
    <row r="163" spans="1:10" x14ac:dyDescent="0.25">
      <c r="A163" t="s">
        <v>7</v>
      </c>
      <c r="B163" t="s">
        <v>308</v>
      </c>
      <c r="C163" t="s">
        <v>309</v>
      </c>
      <c r="D163">
        <v>122.130549708578</v>
      </c>
      <c r="E163">
        <v>0.606730143262602</v>
      </c>
      <c r="F163">
        <v>0.45444870813254601</v>
      </c>
      <c r="G163">
        <v>3.8107970594100502E-4</v>
      </c>
      <c r="H163">
        <v>6.3878777947399296E-2</v>
      </c>
      <c r="I163" t="str">
        <f>VLOOKUP(C163, Table1[[#All],[Entry]:[Length]], 5,FALSE)</f>
        <v>LOC116307079</v>
      </c>
      <c r="J163" t="str">
        <f>IF(C163= "NA", "", VLOOKUP(C163, Table1[[#All],[Entry]:[Length]], 5,FALSE))</f>
        <v>LOC116307079</v>
      </c>
    </row>
    <row r="164" spans="1:10" x14ac:dyDescent="0.25">
      <c r="A164" t="s">
        <v>7</v>
      </c>
      <c r="B164" t="s">
        <v>310</v>
      </c>
      <c r="C164" t="s">
        <v>311</v>
      </c>
      <c r="D164">
        <v>491.40776419926198</v>
      </c>
      <c r="E164">
        <v>0.49018094864489697</v>
      </c>
      <c r="F164">
        <v>0.33938377641106998</v>
      </c>
      <c r="G164">
        <v>3.7861554415752899E-4</v>
      </c>
      <c r="H164">
        <v>6.3878777947399296E-2</v>
      </c>
      <c r="I164" t="str">
        <f>VLOOKUP(C164, Table1[[#All],[Entry]:[Length]], 5,FALSE)</f>
        <v>LOC116292428</v>
      </c>
      <c r="J164" t="str">
        <f>IF(C164= "NA", "", VLOOKUP(C164, Table1[[#All],[Entry]:[Length]], 5,FALSE))</f>
        <v>LOC116292428</v>
      </c>
    </row>
    <row r="165" spans="1:10" x14ac:dyDescent="0.25">
      <c r="A165" t="s">
        <v>7</v>
      </c>
      <c r="B165" t="s">
        <v>312</v>
      </c>
      <c r="C165" t="s">
        <v>313</v>
      </c>
      <c r="D165">
        <v>3341.40937890847</v>
      </c>
      <c r="E165">
        <v>0.64784105857940799</v>
      </c>
      <c r="F165">
        <v>0.58663426616509595</v>
      </c>
      <c r="G165">
        <v>3.8924805614610998E-4</v>
      </c>
      <c r="H165">
        <v>6.4333857914670597E-2</v>
      </c>
      <c r="I165" t="str">
        <f>VLOOKUP(C165, Table1[[#All],[Entry]:[Length]], 5,FALSE)</f>
        <v>LOC116304267</v>
      </c>
      <c r="J165" t="str">
        <f>IF(C165= "NA", "", VLOOKUP(C165, Table1[[#All],[Entry]:[Length]], 5,FALSE))</f>
        <v>LOC116304267</v>
      </c>
    </row>
    <row r="166" spans="1:10" x14ac:dyDescent="0.25">
      <c r="A166" t="s">
        <v>7</v>
      </c>
      <c r="B166" t="s">
        <v>314</v>
      </c>
      <c r="C166" t="s">
        <v>315</v>
      </c>
      <c r="D166">
        <v>150.80579634723301</v>
      </c>
      <c r="E166">
        <v>-0.525882418588562</v>
      </c>
      <c r="F166">
        <v>0.37222819440225002</v>
      </c>
      <c r="G166">
        <v>3.8862864700300398E-4</v>
      </c>
      <c r="H166">
        <v>6.4333857914670597E-2</v>
      </c>
      <c r="I166" t="str">
        <f>VLOOKUP(C166, Table1[[#All],[Entry]:[Length]], 5,FALSE)</f>
        <v/>
      </c>
      <c r="J166" t="str">
        <f>IF(C166= "NA", "", VLOOKUP(C166, Table1[[#All],[Entry]:[Length]], 5,FALSE))</f>
        <v/>
      </c>
    </row>
    <row r="167" spans="1:10" x14ac:dyDescent="0.25">
      <c r="A167" t="s">
        <v>7</v>
      </c>
      <c r="B167" t="s">
        <v>316</v>
      </c>
      <c r="C167" t="s">
        <v>317</v>
      </c>
      <c r="D167">
        <v>2777.6887906934198</v>
      </c>
      <c r="E167">
        <v>0.237299341319166</v>
      </c>
      <c r="F167">
        <v>0.65080675064950499</v>
      </c>
      <c r="G167">
        <v>3.9085826643616502E-4</v>
      </c>
      <c r="H167">
        <v>6.4333857914670597E-2</v>
      </c>
      <c r="I167" t="str">
        <f>VLOOKUP(C167, Table1[[#All],[Entry]:[Length]], 5,FALSE)</f>
        <v>LOC116287602</v>
      </c>
      <c r="J167" t="str">
        <f>IF(C167= "NA", "", VLOOKUP(C167, Table1[[#All],[Entry]:[Length]], 5,FALSE))</f>
        <v>LOC116287602</v>
      </c>
    </row>
    <row r="168" spans="1:10" x14ac:dyDescent="0.25">
      <c r="A168" t="s">
        <v>7</v>
      </c>
      <c r="B168" t="s">
        <v>318</v>
      </c>
      <c r="C168" t="s">
        <v>319</v>
      </c>
      <c r="D168">
        <v>161.04425194699499</v>
      </c>
      <c r="E168">
        <v>0.63546923054609095</v>
      </c>
      <c r="F168">
        <v>0.53663044082927902</v>
      </c>
      <c r="G168">
        <v>4.0390901247815998E-4</v>
      </c>
      <c r="H168">
        <v>6.5969081275010596E-2</v>
      </c>
      <c r="I168" t="str">
        <f>VLOOKUP(C168, Table1[[#All],[Entry]:[Length]], 5,FALSE)</f>
        <v>LOC116299675</v>
      </c>
      <c r="J168" t="str">
        <f>IF(C168= "NA", "", VLOOKUP(C168, Table1[[#All],[Entry]:[Length]], 5,FALSE))</f>
        <v>LOC116299675</v>
      </c>
    </row>
    <row r="169" spans="1:10" x14ac:dyDescent="0.25">
      <c r="A169" t="s">
        <v>7</v>
      </c>
      <c r="B169" t="s">
        <v>320</v>
      </c>
      <c r="C169" t="s">
        <v>321</v>
      </c>
      <c r="D169">
        <v>1146.7228553008199</v>
      </c>
      <c r="E169">
        <v>0.61846595046369501</v>
      </c>
      <c r="F169">
        <v>0.49393445598032698</v>
      </c>
      <c r="G169">
        <v>4.0562184438757798E-4</v>
      </c>
      <c r="H169">
        <v>6.5969081275010596E-2</v>
      </c>
      <c r="I169" t="str">
        <f>VLOOKUP(C169, Table1[[#All],[Entry]:[Length]], 5,FALSE)</f>
        <v>LOC116290855</v>
      </c>
      <c r="J169" t="str">
        <f>IF(C169= "NA", "", VLOOKUP(C169, Table1[[#All],[Entry]:[Length]], 5,FALSE))</f>
        <v>LOC116290855</v>
      </c>
    </row>
    <row r="170" spans="1:10" x14ac:dyDescent="0.25">
      <c r="A170" t="s">
        <v>7</v>
      </c>
      <c r="B170" t="s">
        <v>322</v>
      </c>
      <c r="C170" t="s">
        <v>83</v>
      </c>
      <c r="D170">
        <v>238.330513447698</v>
      </c>
      <c r="E170">
        <v>0.59943603510499399</v>
      </c>
      <c r="F170">
        <v>0.47070980601201901</v>
      </c>
      <c r="G170">
        <v>4.1780476683393801E-4</v>
      </c>
      <c r="H170">
        <v>6.7494911081769096E-2</v>
      </c>
      <c r="I170" t="e">
        <f>VLOOKUP(C170, Table1[[#All],[Entry]:[Length]], 5,FALSE)</f>
        <v>#N/A</v>
      </c>
      <c r="J170" t="str">
        <f>IF(C170= "NA", "", VLOOKUP(C170, Table1[[#All],[Entry]:[Length]], 5,FALSE))</f>
        <v/>
      </c>
    </row>
    <row r="171" spans="1:10" x14ac:dyDescent="0.25">
      <c r="A171" t="s">
        <v>7</v>
      </c>
      <c r="B171" t="s">
        <v>323</v>
      </c>
      <c r="C171" t="s">
        <v>324</v>
      </c>
      <c r="D171">
        <v>545.054491795373</v>
      </c>
      <c r="E171">
        <v>-0.47171803623332498</v>
      </c>
      <c r="F171">
        <v>0.33893738689855502</v>
      </c>
      <c r="G171">
        <v>4.1994418196760098E-4</v>
      </c>
      <c r="H171">
        <v>6.7494911081769096E-2</v>
      </c>
      <c r="I171" t="str">
        <f>VLOOKUP(C171, Table1[[#All],[Entry]:[Length]], 5,FALSE)</f>
        <v>LOC116297289</v>
      </c>
      <c r="J171" t="str">
        <f>IF(C171= "NA", "", VLOOKUP(C171, Table1[[#All],[Entry]:[Length]], 5,FALSE))</f>
        <v>LOC116297289</v>
      </c>
    </row>
    <row r="172" spans="1:10" x14ac:dyDescent="0.25">
      <c r="A172" t="s">
        <v>7</v>
      </c>
      <c r="B172" t="s">
        <v>325</v>
      </c>
      <c r="C172" t="s">
        <v>326</v>
      </c>
      <c r="D172">
        <v>807.90028637960495</v>
      </c>
      <c r="E172">
        <v>0.62558464905966105</v>
      </c>
      <c r="F172">
        <v>0.55356113411838603</v>
      </c>
      <c r="G172">
        <v>4.29135604971845E-4</v>
      </c>
      <c r="H172">
        <v>6.8568842892665099E-2</v>
      </c>
      <c r="I172" t="str">
        <f>VLOOKUP(C172, Table1[[#All],[Entry]:[Length]], 5,FALSE)</f>
        <v>LOC116290334</v>
      </c>
      <c r="J172" t="str">
        <f>IF(C172= "NA", "", VLOOKUP(C172, Table1[[#All],[Entry]:[Length]], 5,FALSE))</f>
        <v>LOC116290334</v>
      </c>
    </row>
    <row r="173" spans="1:10" x14ac:dyDescent="0.25">
      <c r="A173" t="s">
        <v>7</v>
      </c>
      <c r="B173" t="s">
        <v>327</v>
      </c>
      <c r="C173" t="s">
        <v>55</v>
      </c>
      <c r="D173">
        <v>307.47663839753199</v>
      </c>
      <c r="E173">
        <v>-0.320002078837406</v>
      </c>
      <c r="F173">
        <v>0.65810795480513795</v>
      </c>
      <c r="G173">
        <v>4.5024463273706699E-4</v>
      </c>
      <c r="H173">
        <v>7.1523454071365594E-2</v>
      </c>
      <c r="I173" t="str">
        <f>VLOOKUP(C173, Table1[[#All],[Entry]:[Length]], 5,FALSE)</f>
        <v>LOC116303300</v>
      </c>
      <c r="J173" t="str">
        <f>IF(C173= "NA", "", VLOOKUP(C173, Table1[[#All],[Entry]:[Length]], 5,FALSE))</f>
        <v>LOC116303300</v>
      </c>
    </row>
    <row r="174" spans="1:10" x14ac:dyDescent="0.25">
      <c r="A174" t="s">
        <v>7</v>
      </c>
      <c r="B174" t="s">
        <v>328</v>
      </c>
      <c r="C174" t="s">
        <v>329</v>
      </c>
      <c r="D174">
        <v>398.25933339262201</v>
      </c>
      <c r="E174">
        <v>0.49413283559655302</v>
      </c>
      <c r="F174">
        <v>0.36892759890662602</v>
      </c>
      <c r="G174">
        <v>4.5437003241246399E-4</v>
      </c>
      <c r="H174">
        <v>7.1761574541073694E-2</v>
      </c>
      <c r="I174" t="str">
        <f>VLOOKUP(C174, Table1[[#All],[Entry]:[Length]], 5,FALSE)</f>
        <v>LOC116307236</v>
      </c>
      <c r="J174" t="str">
        <f>IF(C174= "NA", "", VLOOKUP(C174, Table1[[#All],[Entry]:[Length]], 5,FALSE))</f>
        <v>LOC116307236</v>
      </c>
    </row>
    <row r="175" spans="1:10" x14ac:dyDescent="0.25">
      <c r="A175" t="s">
        <v>7</v>
      </c>
      <c r="B175" t="s">
        <v>330</v>
      </c>
      <c r="C175" t="s">
        <v>331</v>
      </c>
      <c r="D175">
        <v>473.34533183292001</v>
      </c>
      <c r="E175">
        <v>0.60135627456804697</v>
      </c>
      <c r="F175">
        <v>0.55060883676175598</v>
      </c>
      <c r="G175">
        <v>4.7900759063985499E-4</v>
      </c>
      <c r="H175">
        <v>7.5217956316395093E-2</v>
      </c>
      <c r="I175" t="str">
        <f>VLOOKUP(C175, Table1[[#All],[Entry]:[Length]], 5,FALSE)</f>
        <v>LOC116291103</v>
      </c>
      <c r="J175" t="str">
        <f>IF(C175= "NA", "", VLOOKUP(C175, Table1[[#All],[Entry]:[Length]], 5,FALSE))</f>
        <v>LOC116291103</v>
      </c>
    </row>
    <row r="176" spans="1:10" x14ac:dyDescent="0.25">
      <c r="A176" t="s">
        <v>7</v>
      </c>
      <c r="B176" t="s">
        <v>332</v>
      </c>
      <c r="C176" t="s">
        <v>333</v>
      </c>
      <c r="D176">
        <v>94.163049205273694</v>
      </c>
      <c r="E176">
        <v>-0.59131042208887596</v>
      </c>
      <c r="F176">
        <v>0.59533869354374003</v>
      </c>
      <c r="G176">
        <v>4.9228402021351798E-4</v>
      </c>
      <c r="H176">
        <v>7.6861007338822604E-2</v>
      </c>
      <c r="I176" t="str">
        <f>VLOOKUP(C176, Table1[[#All],[Entry]:[Length]], 5,FALSE)</f>
        <v>LOC116287790</v>
      </c>
      <c r="J176" t="str">
        <f>IF(C176= "NA", "", VLOOKUP(C176, Table1[[#All],[Entry]:[Length]], 5,FALSE))</f>
        <v>LOC116287790</v>
      </c>
    </row>
    <row r="177" spans="1:10" x14ac:dyDescent="0.25">
      <c r="A177" t="s">
        <v>7</v>
      </c>
      <c r="B177" t="s">
        <v>334</v>
      </c>
      <c r="C177" t="s">
        <v>335</v>
      </c>
      <c r="D177">
        <v>92.449997109315703</v>
      </c>
      <c r="E177">
        <v>0.58440464078479903</v>
      </c>
      <c r="F177">
        <v>0.60304881003159805</v>
      </c>
      <c r="G177">
        <v>5.0069284540936996E-4</v>
      </c>
      <c r="H177">
        <v>7.7729719404092207E-2</v>
      </c>
      <c r="I177" t="str">
        <f>VLOOKUP(C177, Table1[[#All],[Entry]:[Length]], 5,FALSE)</f>
        <v>LOC116304369</v>
      </c>
      <c r="J177" t="str">
        <f>IF(C177= "NA", "", VLOOKUP(C177, Table1[[#All],[Entry]:[Length]], 5,FALSE))</f>
        <v>LOC116304369</v>
      </c>
    </row>
    <row r="178" spans="1:10" x14ac:dyDescent="0.25">
      <c r="A178" t="s">
        <v>7</v>
      </c>
      <c r="B178" t="s">
        <v>336</v>
      </c>
      <c r="C178" t="s">
        <v>337</v>
      </c>
      <c r="D178">
        <v>567.44748124078797</v>
      </c>
      <c r="E178">
        <v>-0.41414231303004401</v>
      </c>
      <c r="F178">
        <v>0.66704675679278702</v>
      </c>
      <c r="G178">
        <v>5.1706540358138796E-4</v>
      </c>
      <c r="H178">
        <v>7.9817954926860293E-2</v>
      </c>
      <c r="I178" t="str">
        <f>VLOOKUP(C178, Table1[[#All],[Entry]:[Length]], 5,FALSE)</f>
        <v>LOC116289533</v>
      </c>
      <c r="J178" t="str">
        <f>IF(C178= "NA", "", VLOOKUP(C178, Table1[[#All],[Entry]:[Length]], 5,FALSE))</f>
        <v>LOC116289533</v>
      </c>
    </row>
    <row r="179" spans="1:10" x14ac:dyDescent="0.25">
      <c r="A179" t="s">
        <v>7</v>
      </c>
      <c r="B179" t="s">
        <v>338</v>
      </c>
      <c r="C179" t="s">
        <v>339</v>
      </c>
      <c r="D179">
        <v>687.85943760549003</v>
      </c>
      <c r="E179">
        <v>0.58022445032623504</v>
      </c>
      <c r="F179">
        <v>0.56424560952117697</v>
      </c>
      <c r="G179">
        <v>5.2840780716630097E-4</v>
      </c>
      <c r="H179">
        <v>8.1110598400027198E-2</v>
      </c>
      <c r="I179" t="str">
        <f>VLOOKUP(C179, Table1[[#All],[Entry]:[Length]], 5,FALSE)</f>
        <v>LOC116297038</v>
      </c>
      <c r="J179" t="str">
        <f>IF(C179= "NA", "", VLOOKUP(C179, Table1[[#All],[Entry]:[Length]], 5,FALSE))</f>
        <v>LOC116297038</v>
      </c>
    </row>
    <row r="180" spans="1:10" x14ac:dyDescent="0.25">
      <c r="A180" t="s">
        <v>7</v>
      </c>
      <c r="B180" t="s">
        <v>340</v>
      </c>
      <c r="C180" t="s">
        <v>341</v>
      </c>
      <c r="D180">
        <v>156.60961169987499</v>
      </c>
      <c r="E180">
        <v>0.572453596793155</v>
      </c>
      <c r="F180">
        <v>0.53329755012312996</v>
      </c>
      <c r="G180">
        <v>5.4179891366278098E-4</v>
      </c>
      <c r="H180">
        <v>8.21838215032374E-2</v>
      </c>
      <c r="I180" t="str">
        <f>VLOOKUP(C180, Table1[[#All],[Entry]:[Length]], 5,FALSE)</f>
        <v>LOC116289530</v>
      </c>
      <c r="J180" t="str">
        <f>IF(C180= "NA", "", VLOOKUP(C180, Table1[[#All],[Entry]:[Length]], 5,FALSE))</f>
        <v>LOC116289530</v>
      </c>
    </row>
    <row r="181" spans="1:10" x14ac:dyDescent="0.25">
      <c r="A181" t="s">
        <v>7</v>
      </c>
      <c r="B181" t="s">
        <v>342</v>
      </c>
      <c r="C181" t="s">
        <v>343</v>
      </c>
      <c r="D181">
        <v>772.93619909946506</v>
      </c>
      <c r="E181">
        <v>0.56467236662348397</v>
      </c>
      <c r="F181">
        <v>0.505047131077621</v>
      </c>
      <c r="G181">
        <v>5.4135587144338803E-4</v>
      </c>
      <c r="H181">
        <v>8.21838215032374E-2</v>
      </c>
      <c r="I181" t="str">
        <f>VLOOKUP(C181, Table1[[#All],[Entry]:[Length]], 5,FALSE)</f>
        <v>LOC116290363</v>
      </c>
      <c r="J181" t="str">
        <f>IF(C181= "NA", "", VLOOKUP(C181, Table1[[#All],[Entry]:[Length]], 5,FALSE))</f>
        <v>LOC116290363</v>
      </c>
    </row>
    <row r="182" spans="1:10" x14ac:dyDescent="0.25">
      <c r="A182" t="s">
        <v>7</v>
      </c>
      <c r="B182" t="s">
        <v>344</v>
      </c>
      <c r="C182" t="s">
        <v>83</v>
      </c>
      <c r="D182">
        <v>16789.5587090351</v>
      </c>
      <c r="E182">
        <v>-0.467995140505094</v>
      </c>
      <c r="F182">
        <v>0.37376220828981399</v>
      </c>
      <c r="G182">
        <v>5.444230755073E-4</v>
      </c>
      <c r="H182">
        <v>8.21838215032374E-2</v>
      </c>
      <c r="I182" t="e">
        <f>VLOOKUP(C182, Table1[[#All],[Entry]:[Length]], 5,FALSE)</f>
        <v>#N/A</v>
      </c>
      <c r="J182" t="str">
        <f>IF(C182= "NA", "", VLOOKUP(C182, Table1[[#All],[Entry]:[Length]], 5,FALSE))</f>
        <v/>
      </c>
    </row>
    <row r="183" spans="1:10" x14ac:dyDescent="0.25">
      <c r="A183" t="s">
        <v>7</v>
      </c>
      <c r="B183" t="s">
        <v>345</v>
      </c>
      <c r="C183" t="s">
        <v>346</v>
      </c>
      <c r="D183">
        <v>371.39219822694901</v>
      </c>
      <c r="E183">
        <v>-0.54570060888419503</v>
      </c>
      <c r="F183">
        <v>0.62024567605259795</v>
      </c>
      <c r="G183">
        <v>5.5724421097978402E-4</v>
      </c>
      <c r="H183">
        <v>8.2860581269845607E-2</v>
      </c>
      <c r="I183" t="str">
        <f>VLOOKUP(C183, Table1[[#All],[Entry]:[Length]], 5,FALSE)</f>
        <v>LOC116294439</v>
      </c>
      <c r="J183" t="str">
        <f>IF(C183= "NA", "", VLOOKUP(C183, Table1[[#All],[Entry]:[Length]], 5,FALSE))</f>
        <v>LOC116294439</v>
      </c>
    </row>
    <row r="184" spans="1:10" x14ac:dyDescent="0.25">
      <c r="A184" t="s">
        <v>7</v>
      </c>
      <c r="B184" t="s">
        <v>347</v>
      </c>
      <c r="C184" t="s">
        <v>348</v>
      </c>
      <c r="D184">
        <v>162.36877745629499</v>
      </c>
      <c r="E184">
        <v>0.54095138413622501</v>
      </c>
      <c r="F184">
        <v>0.62328665923770699</v>
      </c>
      <c r="G184">
        <v>5.6103676517664297E-4</v>
      </c>
      <c r="H184">
        <v>8.2860581269845607E-2</v>
      </c>
      <c r="I184" t="str">
        <f>VLOOKUP(C184, Table1[[#All],[Entry]:[Length]], 5,FALSE)</f>
        <v/>
      </c>
      <c r="J184" t="str">
        <f>IF(C184= "NA", "", VLOOKUP(C184, Table1[[#All],[Entry]:[Length]], 5,FALSE))</f>
        <v/>
      </c>
    </row>
    <row r="185" spans="1:10" x14ac:dyDescent="0.25">
      <c r="A185" t="s">
        <v>7</v>
      </c>
      <c r="B185" t="s">
        <v>349</v>
      </c>
      <c r="C185" t="s">
        <v>350</v>
      </c>
      <c r="D185">
        <v>698.12561805388702</v>
      </c>
      <c r="E185">
        <v>0.47526790282042602</v>
      </c>
      <c r="F185">
        <v>0.38559782809474602</v>
      </c>
      <c r="G185">
        <v>5.5987544852297499E-4</v>
      </c>
      <c r="H185">
        <v>8.2860581269845607E-2</v>
      </c>
      <c r="I185" t="str">
        <f>VLOOKUP(C185, Table1[[#All],[Entry]:[Length]], 5,FALSE)</f>
        <v>pdam_00023890</v>
      </c>
      <c r="J185" t="str">
        <f>IF(C185= "NA", "", VLOOKUP(C185, Table1[[#All],[Entry]:[Length]], 5,FALSE))</f>
        <v>pdam_00023890</v>
      </c>
    </row>
    <row r="186" spans="1:10" x14ac:dyDescent="0.25">
      <c r="A186" t="s">
        <v>7</v>
      </c>
      <c r="B186" t="s">
        <v>351</v>
      </c>
      <c r="C186" t="s">
        <v>352</v>
      </c>
      <c r="D186">
        <v>262.92126130255201</v>
      </c>
      <c r="E186">
        <v>-0.409320000048774</v>
      </c>
      <c r="F186">
        <v>0.326132024425068</v>
      </c>
      <c r="G186">
        <v>5.5749721123673395E-4</v>
      </c>
      <c r="H186">
        <v>8.2860581269845607E-2</v>
      </c>
      <c r="I186" t="str">
        <f>VLOOKUP(C186, Table1[[#All],[Entry]:[Length]], 5,FALSE)</f>
        <v>LOC116298396</v>
      </c>
      <c r="J186" t="str">
        <f>IF(C186= "NA", "", VLOOKUP(C186, Table1[[#All],[Entry]:[Length]], 5,FALSE))</f>
        <v>LOC116298396</v>
      </c>
    </row>
    <row r="187" spans="1:10" x14ac:dyDescent="0.25">
      <c r="A187" t="s">
        <v>7</v>
      </c>
      <c r="B187" t="s">
        <v>353</v>
      </c>
      <c r="C187" t="s">
        <v>75</v>
      </c>
      <c r="D187">
        <v>526.11131102156196</v>
      </c>
      <c r="E187">
        <v>0.51995781359350601</v>
      </c>
      <c r="F187">
        <v>0.44657538873644598</v>
      </c>
      <c r="G187">
        <v>5.8055052671487201E-4</v>
      </c>
      <c r="H187">
        <v>8.4455979561690098E-2</v>
      </c>
      <c r="I187" t="str">
        <f>VLOOKUP(C187, Table1[[#All],[Entry]:[Length]], 5,FALSE)</f>
        <v>LOC116297422</v>
      </c>
      <c r="J187" t="str">
        <f>IF(C187= "NA", "", VLOOKUP(C187, Table1[[#All],[Entry]:[Length]], 5,FALSE))</f>
        <v>LOC116297422</v>
      </c>
    </row>
    <row r="188" spans="1:10" x14ac:dyDescent="0.25">
      <c r="A188" t="s">
        <v>7</v>
      </c>
      <c r="B188" t="s">
        <v>354</v>
      </c>
      <c r="C188" t="s">
        <v>355</v>
      </c>
      <c r="D188">
        <v>26.3414202511863</v>
      </c>
      <c r="E188">
        <v>0.48073007794339401</v>
      </c>
      <c r="F188">
        <v>0.64965213568555902</v>
      </c>
      <c r="G188">
        <v>5.8111203592569401E-4</v>
      </c>
      <c r="H188">
        <v>8.4455979561690098E-2</v>
      </c>
      <c r="I188" t="str">
        <f>VLOOKUP(C188, Table1[[#All],[Entry]:[Length]], 5,FALSE)</f>
        <v>LOC116308172</v>
      </c>
      <c r="J188" t="str">
        <f>IF(C188= "NA", "", VLOOKUP(C188, Table1[[#All],[Entry]:[Length]], 5,FALSE))</f>
        <v>LOC116308172</v>
      </c>
    </row>
    <row r="189" spans="1:10" x14ac:dyDescent="0.25">
      <c r="A189" t="s">
        <v>7</v>
      </c>
      <c r="B189" t="s">
        <v>356</v>
      </c>
      <c r="C189" t="s">
        <v>357</v>
      </c>
      <c r="D189">
        <v>42.080508515770703</v>
      </c>
      <c r="E189">
        <v>-0.16682792014235601</v>
      </c>
      <c r="F189">
        <v>0.569501190398635</v>
      </c>
      <c r="G189">
        <v>5.8056961096212504E-4</v>
      </c>
      <c r="H189">
        <v>8.4455979561690098E-2</v>
      </c>
      <c r="I189" t="str">
        <f>VLOOKUP(C189, Table1[[#All],[Entry]:[Length]], 5,FALSE)</f>
        <v>LOC116287535</v>
      </c>
      <c r="J189" t="str">
        <f>IF(C189= "NA", "", VLOOKUP(C189, Table1[[#All],[Entry]:[Length]], 5,FALSE))</f>
        <v>LOC116287535</v>
      </c>
    </row>
    <row r="190" spans="1:10" x14ac:dyDescent="0.25">
      <c r="A190" t="s">
        <v>7</v>
      </c>
      <c r="B190" t="s">
        <v>358</v>
      </c>
      <c r="C190" t="s">
        <v>359</v>
      </c>
      <c r="D190">
        <v>103.03016390187599</v>
      </c>
      <c r="E190">
        <v>-0.55414072371614598</v>
      </c>
      <c r="F190">
        <v>0.54964726757572002</v>
      </c>
      <c r="G190">
        <v>5.9508780671414297E-4</v>
      </c>
      <c r="H190">
        <v>8.5381034291737004E-2</v>
      </c>
      <c r="I190" t="str">
        <f>VLOOKUP(C190, Table1[[#All],[Entry]:[Length]], 5,FALSE)</f>
        <v>LOC116293843</v>
      </c>
      <c r="J190" t="str">
        <f>IF(C190= "NA", "", VLOOKUP(C190, Table1[[#All],[Entry]:[Length]], 5,FALSE))</f>
        <v>LOC116293843</v>
      </c>
    </row>
    <row r="191" spans="1:10" x14ac:dyDescent="0.25">
      <c r="A191" t="s">
        <v>7</v>
      </c>
      <c r="B191" t="s">
        <v>360</v>
      </c>
      <c r="C191" t="s">
        <v>361</v>
      </c>
      <c r="D191">
        <v>1024.0107218154001</v>
      </c>
      <c r="E191">
        <v>0.55402205849892305</v>
      </c>
      <c r="F191">
        <v>0.53988283214359201</v>
      </c>
      <c r="G191">
        <v>5.9367241095072002E-4</v>
      </c>
      <c r="H191">
        <v>8.5381034291737004E-2</v>
      </c>
      <c r="I191" t="str">
        <f>VLOOKUP(C191, Table1[[#All],[Entry]:[Length]], 5,FALSE)</f>
        <v>KTx</v>
      </c>
      <c r="J191" t="str">
        <f>IF(C191= "NA", "", VLOOKUP(C191, Table1[[#All],[Entry]:[Length]], 5,FALSE))</f>
        <v>KTx</v>
      </c>
    </row>
    <row r="192" spans="1:10" x14ac:dyDescent="0.25">
      <c r="A192" t="s">
        <v>7</v>
      </c>
      <c r="B192" t="s">
        <v>362</v>
      </c>
      <c r="C192" t="s">
        <v>363</v>
      </c>
      <c r="D192">
        <v>370.75488465366902</v>
      </c>
      <c r="E192">
        <v>-0.54368795780141699</v>
      </c>
      <c r="F192">
        <v>0.50145977213639004</v>
      </c>
      <c r="G192">
        <v>5.9685164695391299E-4</v>
      </c>
      <c r="H192">
        <v>8.5381034291737004E-2</v>
      </c>
      <c r="I192" t="str">
        <f>VLOOKUP(C192, Table1[[#All],[Entry]:[Length]], 5,FALSE)</f>
        <v>LOC116296293</v>
      </c>
      <c r="J192" t="str">
        <f>IF(C192= "NA", "", VLOOKUP(C192, Table1[[#All],[Entry]:[Length]], 5,FALSE))</f>
        <v>LOC116296293</v>
      </c>
    </row>
    <row r="193" spans="1:10" x14ac:dyDescent="0.25">
      <c r="A193" t="s">
        <v>7</v>
      </c>
      <c r="B193" t="s">
        <v>364</v>
      </c>
      <c r="C193" t="s">
        <v>365</v>
      </c>
      <c r="D193">
        <v>112.12900332559801</v>
      </c>
      <c r="E193">
        <v>-0.54683119997580398</v>
      </c>
      <c r="F193">
        <v>0.55235418273685299</v>
      </c>
      <c r="G193">
        <v>6.1535950806888503E-4</v>
      </c>
      <c r="H193">
        <v>8.6222911994698198E-2</v>
      </c>
      <c r="I193" t="str">
        <f>VLOOKUP(C193, Table1[[#All],[Entry]:[Length]], 5,FALSE)</f>
        <v>NEMVEDRAFT_v1g25864</v>
      </c>
      <c r="J193" t="str">
        <f>IF(C193= "NA", "", VLOOKUP(C193, Table1[[#All],[Entry]:[Length]], 5,FALSE))</f>
        <v>NEMVEDRAFT_v1g25864</v>
      </c>
    </row>
    <row r="194" spans="1:10" x14ac:dyDescent="0.25">
      <c r="A194" t="s">
        <v>7</v>
      </c>
      <c r="B194" t="s">
        <v>366</v>
      </c>
      <c r="C194" t="s">
        <v>367</v>
      </c>
      <c r="D194">
        <v>82.460103432499395</v>
      </c>
      <c r="E194">
        <v>0.54448111237765195</v>
      </c>
      <c r="F194">
        <v>0.57876121617785103</v>
      </c>
      <c r="G194">
        <v>6.1149201045834496E-4</v>
      </c>
      <c r="H194">
        <v>8.6222911994698198E-2</v>
      </c>
      <c r="I194" t="str">
        <f>VLOOKUP(C194, Table1[[#All],[Entry]:[Length]], 5,FALSE)</f>
        <v>LOC116303514</v>
      </c>
      <c r="J194" t="str">
        <f>IF(C194= "NA", "", VLOOKUP(C194, Table1[[#All],[Entry]:[Length]], 5,FALSE))</f>
        <v>LOC116303514</v>
      </c>
    </row>
    <row r="195" spans="1:10" x14ac:dyDescent="0.25">
      <c r="A195" t="s">
        <v>7</v>
      </c>
      <c r="B195" t="s">
        <v>368</v>
      </c>
      <c r="C195" t="s">
        <v>369</v>
      </c>
      <c r="D195">
        <v>37.294085259666197</v>
      </c>
      <c r="E195">
        <v>-0.51685242342936599</v>
      </c>
      <c r="F195">
        <v>0.62151489099310597</v>
      </c>
      <c r="G195">
        <v>6.1157446020803903E-4</v>
      </c>
      <c r="H195">
        <v>8.6222911994698198E-2</v>
      </c>
      <c r="I195" t="str">
        <f>VLOOKUP(C195, Table1[[#All],[Entry]:[Length]], 5,FALSE)</f>
        <v>LOC116299435</v>
      </c>
      <c r="J195" t="str">
        <f>IF(C195= "NA", "", VLOOKUP(C195, Table1[[#All],[Entry]:[Length]], 5,FALSE))</f>
        <v>LOC116299435</v>
      </c>
    </row>
    <row r="196" spans="1:10" x14ac:dyDescent="0.25">
      <c r="A196" t="s">
        <v>7</v>
      </c>
      <c r="B196" t="s">
        <v>370</v>
      </c>
      <c r="C196" t="s">
        <v>371</v>
      </c>
      <c r="D196">
        <v>567.81675608810099</v>
      </c>
      <c r="E196">
        <v>0.50120688907358402</v>
      </c>
      <c r="F196">
        <v>0.43487492163813901</v>
      </c>
      <c r="G196">
        <v>6.1444343573397104E-4</v>
      </c>
      <c r="H196">
        <v>8.6222911994698198E-2</v>
      </c>
      <c r="I196" t="str">
        <f>VLOOKUP(C196, Table1[[#All],[Entry]:[Length]], 5,FALSE)</f>
        <v>LOC116303701</v>
      </c>
      <c r="J196" t="str">
        <f>IF(C196= "NA", "", VLOOKUP(C196, Table1[[#All],[Entry]:[Length]], 5,FALSE))</f>
        <v>LOC116303701</v>
      </c>
    </row>
    <row r="197" spans="1:10" x14ac:dyDescent="0.25">
      <c r="A197" t="s">
        <v>7</v>
      </c>
      <c r="B197" t="s">
        <v>372</v>
      </c>
      <c r="C197" t="s">
        <v>373</v>
      </c>
      <c r="D197">
        <v>1659.49705957725</v>
      </c>
      <c r="E197">
        <v>-0.376155880062369</v>
      </c>
      <c r="F197">
        <v>0.31575683615391997</v>
      </c>
      <c r="G197">
        <v>6.3858287970734902E-4</v>
      </c>
      <c r="H197">
        <v>8.9020408276754504E-2</v>
      </c>
      <c r="I197" t="str">
        <f>VLOOKUP(C197, Table1[[#All],[Entry]:[Length]], 5,FALSE)</f>
        <v>LOC116301779</v>
      </c>
      <c r="J197" t="str">
        <f>IF(C197= "NA", "", VLOOKUP(C197, Table1[[#All],[Entry]:[Length]], 5,FALSE))</f>
        <v>LOC116301779</v>
      </c>
    </row>
    <row r="198" spans="1:10" x14ac:dyDescent="0.25">
      <c r="A198" t="s">
        <v>7</v>
      </c>
      <c r="B198" t="s">
        <v>374</v>
      </c>
      <c r="C198" t="s">
        <v>375</v>
      </c>
      <c r="D198">
        <v>310.20120197221797</v>
      </c>
      <c r="E198">
        <v>-9.7663136930167802E-2</v>
      </c>
      <c r="F198">
        <v>0.51763108399499502</v>
      </c>
      <c r="G198">
        <v>7.0485282414764505E-4</v>
      </c>
      <c r="H198">
        <v>9.7759866569472595E-2</v>
      </c>
      <c r="I198" t="str">
        <f>VLOOKUP(C198, Table1[[#All],[Entry]:[Length]], 5,FALSE)</f>
        <v>LOC116296577</v>
      </c>
      <c r="J198" t="str">
        <f>IF(C198= "NA", "", VLOOKUP(C198, Table1[[#All],[Entry]:[Length]], 5,FALSE))</f>
        <v>LOC116296577</v>
      </c>
    </row>
    <row r="199" spans="1:10" x14ac:dyDescent="0.25">
      <c r="A199" t="s">
        <v>7</v>
      </c>
      <c r="B199" t="s">
        <v>376</v>
      </c>
      <c r="C199" t="s">
        <v>377</v>
      </c>
      <c r="D199">
        <v>1420.3167770753801</v>
      </c>
      <c r="E199">
        <v>-0.47757831316889099</v>
      </c>
      <c r="F199">
        <v>0.43971223152157002</v>
      </c>
      <c r="G199">
        <v>7.1352707736055095E-4</v>
      </c>
      <c r="H199">
        <v>9.8463133003648201E-2</v>
      </c>
      <c r="I199" t="str">
        <f>VLOOKUP(C199, Table1[[#All],[Entry]:[Length]], 5,FALSE)</f>
        <v>LOC116295620</v>
      </c>
      <c r="J199" t="str">
        <f>IF(C199= "NA", "", VLOOKUP(C199, Table1[[#All],[Entry]:[Length]], 5,FALSE))</f>
        <v>LOC116295620</v>
      </c>
    </row>
    <row r="200" spans="1:10" x14ac:dyDescent="0.25">
      <c r="A200" t="s">
        <v>7</v>
      </c>
      <c r="B200" t="s">
        <v>378</v>
      </c>
      <c r="C200" t="s">
        <v>379</v>
      </c>
      <c r="D200">
        <v>49.968118613936703</v>
      </c>
      <c r="E200">
        <v>-0.50648459368918697</v>
      </c>
      <c r="F200">
        <v>0.50958472076124295</v>
      </c>
      <c r="G200">
        <v>7.2790424777052201E-4</v>
      </c>
      <c r="H200">
        <v>9.9329312662909897E-2</v>
      </c>
      <c r="I200" t="str">
        <f>VLOOKUP(C200, Table1[[#All],[Entry]:[Length]], 5,FALSE)</f>
        <v>LOC116296669</v>
      </c>
      <c r="J200" t="str">
        <f>IF(C200= "NA", "", VLOOKUP(C200, Table1[[#All],[Entry]:[Length]], 5,FALSE))</f>
        <v>LOC116296669</v>
      </c>
    </row>
    <row r="201" spans="1:10" x14ac:dyDescent="0.25">
      <c r="A201" t="s">
        <v>7</v>
      </c>
      <c r="B201" t="s">
        <v>380</v>
      </c>
      <c r="C201" t="s">
        <v>381</v>
      </c>
      <c r="D201">
        <v>24.678216341995999</v>
      </c>
      <c r="E201">
        <v>0.48115805203249501</v>
      </c>
      <c r="F201">
        <v>0.60492431635107902</v>
      </c>
      <c r="G201">
        <v>7.2983882643471701E-4</v>
      </c>
      <c r="H201">
        <v>9.9329312662909897E-2</v>
      </c>
      <c r="I201" t="str">
        <f>VLOOKUP(C201, Table1[[#All],[Entry]:[Length]], 5,FALSE)</f>
        <v>LOC116305123</v>
      </c>
      <c r="J201" t="str">
        <f>IF(C201= "NA", "", VLOOKUP(C201, Table1[[#All],[Entry]:[Length]], 5,FALSE))</f>
        <v>LOC116305123</v>
      </c>
    </row>
    <row r="202" spans="1:10" x14ac:dyDescent="0.25">
      <c r="A202" t="s">
        <v>7</v>
      </c>
      <c r="B202" t="s">
        <v>382</v>
      </c>
      <c r="C202" t="s">
        <v>383</v>
      </c>
      <c r="D202">
        <v>57.534020207776898</v>
      </c>
      <c r="E202">
        <v>0.48095568494538798</v>
      </c>
      <c r="F202">
        <v>0.60076893997858105</v>
      </c>
      <c r="G202">
        <v>7.4161621283291097E-4</v>
      </c>
      <c r="H202">
        <v>9.9329312662909897E-2</v>
      </c>
      <c r="I202" t="str">
        <f>VLOOKUP(C202, Table1[[#All],[Entry]:[Length]], 5,FALSE)</f>
        <v>LOC116294724</v>
      </c>
      <c r="J202" t="str">
        <f>IF(C202= "NA", "", VLOOKUP(C202, Table1[[#All],[Entry]:[Length]], 5,FALSE))</f>
        <v>LOC116294724</v>
      </c>
    </row>
    <row r="203" spans="1:10" x14ac:dyDescent="0.25">
      <c r="A203" t="s">
        <v>7</v>
      </c>
      <c r="B203" t="s">
        <v>384</v>
      </c>
      <c r="C203" t="s">
        <v>350</v>
      </c>
      <c r="D203">
        <v>64.137211419607397</v>
      </c>
      <c r="E203">
        <v>0.47922130096847698</v>
      </c>
      <c r="F203">
        <v>0.45097830484854801</v>
      </c>
      <c r="G203">
        <v>7.3561523476268402E-4</v>
      </c>
      <c r="H203">
        <v>9.9329312662909897E-2</v>
      </c>
      <c r="I203" t="str">
        <f>VLOOKUP(C203, Table1[[#All],[Entry]:[Length]], 5,FALSE)</f>
        <v>pdam_00023890</v>
      </c>
      <c r="J203" t="str">
        <f>IF(C203= "NA", "", VLOOKUP(C203, Table1[[#All],[Entry]:[Length]], 5,FALSE))</f>
        <v>pdam_00023890</v>
      </c>
    </row>
    <row r="204" spans="1:10" x14ac:dyDescent="0.25">
      <c r="A204" t="s">
        <v>7</v>
      </c>
      <c r="B204" t="s">
        <v>385</v>
      </c>
      <c r="C204" t="s">
        <v>386</v>
      </c>
      <c r="D204">
        <v>327.58049027236899</v>
      </c>
      <c r="E204">
        <v>-0.36867871727700502</v>
      </c>
      <c r="F204">
        <v>0.32726011161677099</v>
      </c>
      <c r="G204">
        <v>7.3968963228361801E-4</v>
      </c>
      <c r="H204">
        <v>9.9329312662909897E-2</v>
      </c>
      <c r="I204" t="str">
        <f>VLOOKUP(C204, Table1[[#All],[Entry]:[Length]], 5,FALSE)</f>
        <v>LOC116291462</v>
      </c>
      <c r="J204" t="str">
        <f>IF(C204= "NA", "", VLOOKUP(C204, Table1[[#All],[Entry]:[Length]], 5,FALSE))</f>
        <v>LOC116291462</v>
      </c>
    </row>
    <row r="205" spans="1:10" x14ac:dyDescent="0.25">
      <c r="A205" t="s">
        <v>7</v>
      </c>
      <c r="B205" t="s">
        <v>387</v>
      </c>
      <c r="C205" t="s">
        <v>388</v>
      </c>
      <c r="D205">
        <v>26.536531830780799</v>
      </c>
      <c r="E205">
        <v>0.247612307712542</v>
      </c>
      <c r="F205">
        <v>0.58136886809231703</v>
      </c>
      <c r="G205">
        <v>7.3236229799452204E-4</v>
      </c>
      <c r="H205">
        <v>9.9329312662909897E-2</v>
      </c>
      <c r="I205" t="str">
        <f>VLOOKUP(C205, Table1[[#All],[Entry]:[Length]], 5,FALSE)</f>
        <v>LOC116296968</v>
      </c>
      <c r="J205" t="str">
        <f>IF(C205= "NA", "", VLOOKUP(C205, Table1[[#All],[Entry]:[Length]], 5,FALSE))</f>
        <v>LOC116296968</v>
      </c>
    </row>
    <row r="206" spans="1:10" x14ac:dyDescent="0.25">
      <c r="A206" t="s">
        <v>7</v>
      </c>
      <c r="B206" t="s">
        <v>389</v>
      </c>
      <c r="C206" t="s">
        <v>390</v>
      </c>
      <c r="D206">
        <v>54.500943927894603</v>
      </c>
      <c r="E206">
        <v>0.50066506199231497</v>
      </c>
      <c r="F206">
        <v>0.529257610412318</v>
      </c>
      <c r="G206">
        <v>7.60801041240219E-4</v>
      </c>
      <c r="H206">
        <v>9.9529304830787396E-2</v>
      </c>
      <c r="I206" t="str">
        <f>VLOOKUP(C206, Table1[[#All],[Entry]:[Length]], 5,FALSE)</f>
        <v>LOC116291252</v>
      </c>
      <c r="J206" t="str">
        <f>IF(C206= "NA", "", VLOOKUP(C206, Table1[[#All],[Entry]:[Length]], 5,FALSE))</f>
        <v>LOC116291252</v>
      </c>
    </row>
    <row r="207" spans="1:10" x14ac:dyDescent="0.25">
      <c r="A207" t="s">
        <v>7</v>
      </c>
      <c r="B207" t="s">
        <v>391</v>
      </c>
      <c r="C207" t="s">
        <v>392</v>
      </c>
      <c r="D207">
        <v>30.298761851884599</v>
      </c>
      <c r="E207">
        <v>0.49799410664785398</v>
      </c>
      <c r="F207">
        <v>0.56800784872201404</v>
      </c>
      <c r="G207">
        <v>7.5429817038794402E-4</v>
      </c>
      <c r="H207">
        <v>9.9529304830787396E-2</v>
      </c>
      <c r="I207" t="str">
        <f>VLOOKUP(C207, Table1[[#All],[Entry]:[Length]], 5,FALSE)</f>
        <v>LOC116291425</v>
      </c>
      <c r="J207" t="str">
        <f>IF(C207= "NA", "", VLOOKUP(C207, Table1[[#All],[Entry]:[Length]], 5,FALSE))</f>
        <v>LOC116291425</v>
      </c>
    </row>
    <row r="208" spans="1:10" x14ac:dyDescent="0.25">
      <c r="A208" t="s">
        <v>7</v>
      </c>
      <c r="B208" t="s">
        <v>393</v>
      </c>
      <c r="C208" t="s">
        <v>394</v>
      </c>
      <c r="D208">
        <v>78.719808946622507</v>
      </c>
      <c r="E208">
        <v>0.49054960987956903</v>
      </c>
      <c r="F208">
        <v>0.49192859455353299</v>
      </c>
      <c r="G208">
        <v>7.6860825382630605E-4</v>
      </c>
      <c r="H208">
        <v>9.9529304830787396E-2</v>
      </c>
      <c r="I208" t="str">
        <f>VLOOKUP(C208, Table1[[#All],[Entry]:[Length]], 5,FALSE)</f>
        <v>LOC116287132</v>
      </c>
      <c r="J208" t="str">
        <f>IF(C208= "NA", "", VLOOKUP(C208, Table1[[#All],[Entry]:[Length]], 5,FALSE))</f>
        <v>LOC116287132</v>
      </c>
    </row>
    <row r="209" spans="1:10" x14ac:dyDescent="0.25">
      <c r="A209" t="s">
        <v>7</v>
      </c>
      <c r="B209" t="s">
        <v>395</v>
      </c>
      <c r="C209" t="s">
        <v>396</v>
      </c>
      <c r="D209">
        <v>55.999274058173697</v>
      </c>
      <c r="E209">
        <v>0.42370043320323098</v>
      </c>
      <c r="F209">
        <v>0.62316109908568695</v>
      </c>
      <c r="G209">
        <v>7.5367371537166496E-4</v>
      </c>
      <c r="H209">
        <v>9.9529304830787396E-2</v>
      </c>
      <c r="I209" t="str">
        <f>VLOOKUP(C209, Table1[[#All],[Entry]:[Length]], 5,FALSE)</f>
        <v>LOC116306447</v>
      </c>
      <c r="J209" t="str">
        <f>IF(C209= "NA", "", VLOOKUP(C209, Table1[[#All],[Entry]:[Length]], 5,FALSE))</f>
        <v>LOC116306447</v>
      </c>
    </row>
    <row r="210" spans="1:10" x14ac:dyDescent="0.25">
      <c r="A210" t="s">
        <v>7</v>
      </c>
      <c r="B210" t="s">
        <v>397</v>
      </c>
      <c r="C210" t="s">
        <v>398</v>
      </c>
      <c r="D210">
        <v>451.03884692398901</v>
      </c>
      <c r="E210">
        <v>0.41196964823478399</v>
      </c>
      <c r="F210">
        <v>0.37377853150181101</v>
      </c>
      <c r="G210">
        <v>7.6618838882863997E-4</v>
      </c>
      <c r="H210">
        <v>9.9529304830787396E-2</v>
      </c>
      <c r="I210" t="str">
        <f>VLOOKUP(C210, Table1[[#All],[Entry]:[Length]], 5,FALSE)</f>
        <v>PACLA_8A022546</v>
      </c>
      <c r="J210" t="str">
        <f>IF(C210= "NA", "", VLOOKUP(C210, Table1[[#All],[Entry]:[Length]], 5,FALSE))</f>
        <v>PACLA_8A022546</v>
      </c>
    </row>
    <row r="211" spans="1:10" x14ac:dyDescent="0.25">
      <c r="A211" t="s">
        <v>7</v>
      </c>
      <c r="B211" t="s">
        <v>399</v>
      </c>
      <c r="C211" t="s">
        <v>400</v>
      </c>
      <c r="D211">
        <v>4066.3518787256398</v>
      </c>
      <c r="E211">
        <v>-0.393016998709385</v>
      </c>
      <c r="F211">
        <v>0.35429887242846902</v>
      </c>
      <c r="G211">
        <v>7.6475825064427003E-4</v>
      </c>
      <c r="H211">
        <v>9.9529304830787396E-2</v>
      </c>
      <c r="I211" t="str">
        <f>VLOOKUP(C211, Table1[[#All],[Entry]:[Length]], 5,FALSE)</f>
        <v>LOC116294086</v>
      </c>
      <c r="J211" t="str">
        <f>IF(C211= "NA", "", VLOOKUP(C211, Table1[[#All],[Entry]:[Length]], 5,FALSE))</f>
        <v>LOC116294086</v>
      </c>
    </row>
    <row r="212" spans="1:10" x14ac:dyDescent="0.25">
      <c r="A212" t="s">
        <v>7</v>
      </c>
      <c r="B212" t="s">
        <v>401</v>
      </c>
      <c r="C212" t="s">
        <v>402</v>
      </c>
      <c r="D212">
        <v>298.04603713844898</v>
      </c>
      <c r="E212">
        <v>-0.32576120832535899</v>
      </c>
      <c r="F212">
        <v>0.29220816679560502</v>
      </c>
      <c r="G212">
        <v>7.4732017235656304E-4</v>
      </c>
      <c r="H212">
        <v>9.9529304830787396E-2</v>
      </c>
      <c r="I212" t="str">
        <f>VLOOKUP(C212, Table1[[#All],[Entry]:[Length]], 5,FALSE)</f>
        <v>LOC116293963</v>
      </c>
      <c r="J212" t="str">
        <f>IF(C212= "NA", "", VLOOKUP(C212, Table1[[#All],[Entry]:[Length]], 5,FALSE))</f>
        <v>LOC116293963</v>
      </c>
    </row>
    <row r="213" spans="1:10" x14ac:dyDescent="0.25">
      <c r="A213" t="s">
        <v>403</v>
      </c>
      <c r="B213" t="s">
        <v>404</v>
      </c>
      <c r="C213" t="s">
        <v>405</v>
      </c>
      <c r="D213">
        <v>116.702846059359</v>
      </c>
      <c r="E213">
        <v>19.218977297069902</v>
      </c>
      <c r="F213">
        <v>3.0607107382965402</v>
      </c>
      <c r="G213" s="1">
        <v>1.3711040239449401E-10</v>
      </c>
      <c r="H213" s="1">
        <v>4.0123988156724903E-6</v>
      </c>
      <c r="I213" t="str">
        <f>VLOOKUP(C213, Table1[[#All],[Entry]:[Length]], 5,FALSE)</f>
        <v>LOC116289450</v>
      </c>
      <c r="J213" t="str">
        <f>IF(C213= "NA", "", VLOOKUP(C213, Table1[[#All],[Entry]:[Length]], 5,FALSE))</f>
        <v>LOC116289450</v>
      </c>
    </row>
    <row r="214" spans="1:10" x14ac:dyDescent="0.25">
      <c r="A214" t="s">
        <v>403</v>
      </c>
      <c r="B214" t="s">
        <v>406</v>
      </c>
      <c r="C214" t="s">
        <v>407</v>
      </c>
      <c r="D214">
        <v>79.510497685257704</v>
      </c>
      <c r="E214">
        <v>1.9434775744596999</v>
      </c>
      <c r="F214">
        <v>0.52058444422315397</v>
      </c>
      <c r="G214" s="1">
        <v>2.4055641326633102E-7</v>
      </c>
      <c r="H214">
        <v>3.5198214389129501E-3</v>
      </c>
      <c r="I214" t="str">
        <f>VLOOKUP(C214, Table1[[#All],[Entry]:[Length]], 5,FALSE)</f>
        <v>LOC116292262</v>
      </c>
      <c r="J214" t="str">
        <f>IF(C214= "NA", "", VLOOKUP(C214, Table1[[#All],[Entry]:[Length]], 5,FALSE))</f>
        <v>LOC116292262</v>
      </c>
    </row>
    <row r="215" spans="1:10" x14ac:dyDescent="0.25">
      <c r="A215" t="s">
        <v>403</v>
      </c>
      <c r="B215" t="s">
        <v>408</v>
      </c>
      <c r="C215" t="s">
        <v>409</v>
      </c>
      <c r="D215">
        <v>24.534874676861499</v>
      </c>
      <c r="E215">
        <v>2.7039871227682002</v>
      </c>
      <c r="F215">
        <v>0.99089408598859696</v>
      </c>
      <c r="G215" s="1">
        <v>4.1241921682120802E-7</v>
      </c>
      <c r="H215">
        <v>4.02301198701861E-3</v>
      </c>
      <c r="I215" t="str">
        <f>VLOOKUP(C215, Table1[[#All],[Entry]:[Length]], 5,FALSE)</f>
        <v>NEMVEDRAFT_v1g80429</v>
      </c>
      <c r="J215" t="str">
        <f>IF(C215= "NA", "", VLOOKUP(C215, Table1[[#All],[Entry]:[Length]], 5,FALSE))</f>
        <v>NEMVEDRAFT_v1g80429</v>
      </c>
    </row>
    <row r="216" spans="1:10" x14ac:dyDescent="0.25">
      <c r="A216" t="s">
        <v>403</v>
      </c>
      <c r="B216" t="s">
        <v>410</v>
      </c>
      <c r="C216" t="s">
        <v>411</v>
      </c>
      <c r="D216">
        <v>122.420021998123</v>
      </c>
      <c r="E216">
        <v>1.3375392434892499</v>
      </c>
      <c r="F216">
        <v>0.82227868827662298</v>
      </c>
      <c r="G216" s="1">
        <v>3.10350681213818E-6</v>
      </c>
      <c r="H216">
        <v>2.2705255837602901E-2</v>
      </c>
      <c r="I216" t="str">
        <f>VLOOKUP(C216, Table1[[#All],[Entry]:[Length]], 5,FALSE)</f>
        <v>LOC116299776</v>
      </c>
      <c r="J216" t="str">
        <f>IF(C216= "NA", "", VLOOKUP(C216, Table1[[#All],[Entry]:[Length]], 5,FALSE))</f>
        <v>LOC116299776</v>
      </c>
    </row>
    <row r="217" spans="1:10" x14ac:dyDescent="0.25">
      <c r="A217" t="s">
        <v>403</v>
      </c>
      <c r="B217" t="s">
        <v>412</v>
      </c>
      <c r="C217" t="s">
        <v>413</v>
      </c>
      <c r="D217">
        <v>81.713106248814299</v>
      </c>
      <c r="E217">
        <v>1.4516768952058099</v>
      </c>
      <c r="F217">
        <v>1.2472523786724301</v>
      </c>
      <c r="G217" s="1">
        <v>5.5590788035179303E-6</v>
      </c>
      <c r="H217">
        <v>2.7113480351024798E-2</v>
      </c>
      <c r="I217" t="str">
        <f>VLOOKUP(C217, Table1[[#All],[Entry]:[Length]], 5,FALSE)</f>
        <v>LOC116307612</v>
      </c>
      <c r="J217" t="str">
        <f>IF(C217= "NA", "", VLOOKUP(C217, Table1[[#All],[Entry]:[Length]], 5,FALSE))</f>
        <v>LOC116307612</v>
      </c>
    </row>
    <row r="218" spans="1:10" x14ac:dyDescent="0.25">
      <c r="A218" t="s">
        <v>403</v>
      </c>
      <c r="B218" t="s">
        <v>414</v>
      </c>
      <c r="C218" t="s">
        <v>415</v>
      </c>
      <c r="D218">
        <v>173.16033082397999</v>
      </c>
      <c r="E218">
        <v>0.87283862543190105</v>
      </c>
      <c r="F218">
        <v>0.67343398271669397</v>
      </c>
      <c r="G218" s="1">
        <v>5.1205143411774303E-6</v>
      </c>
      <c r="H218">
        <v>2.7113480351024798E-2</v>
      </c>
      <c r="I218" t="str">
        <f>VLOOKUP(C218, Table1[[#All],[Entry]:[Length]], 5,FALSE)</f>
        <v>LOC116287090</v>
      </c>
      <c r="J218" t="str">
        <f>IF(C218= "NA", "", VLOOKUP(C218, Table1[[#All],[Entry]:[Length]], 5,FALSE))</f>
        <v>LOC116287090</v>
      </c>
    </row>
    <row r="219" spans="1:10" x14ac:dyDescent="0.25">
      <c r="A219" t="s">
        <v>403</v>
      </c>
      <c r="B219" t="s">
        <v>416</v>
      </c>
      <c r="C219" t="s">
        <v>417</v>
      </c>
      <c r="D219">
        <v>390.30102152038103</v>
      </c>
      <c r="E219">
        <v>0.830171541309914</v>
      </c>
      <c r="F219">
        <v>0.85449790756939603</v>
      </c>
      <c r="G219" s="1">
        <v>1.05502275190046E-5</v>
      </c>
      <c r="H219">
        <v>3.9639544958100001E-2</v>
      </c>
      <c r="I219" t="str">
        <f>VLOOKUP(C219, Table1[[#All],[Entry]:[Length]], 5,FALSE)</f>
        <v>LOC116292262</v>
      </c>
      <c r="J219" t="str">
        <f>IF(C219= "NA", "", VLOOKUP(C219, Table1[[#All],[Entry]:[Length]], 5,FALSE))</f>
        <v>LOC116292262</v>
      </c>
    </row>
    <row r="220" spans="1:10" x14ac:dyDescent="0.25">
      <c r="A220" t="s">
        <v>403</v>
      </c>
      <c r="B220" t="s">
        <v>418</v>
      </c>
      <c r="C220" t="s">
        <v>419</v>
      </c>
      <c r="D220">
        <v>547.97129018067199</v>
      </c>
      <c r="E220">
        <v>0.81354063655020403</v>
      </c>
      <c r="F220">
        <v>0.84733954473186002</v>
      </c>
      <c r="G220" s="1">
        <v>1.08363982936304E-5</v>
      </c>
      <c r="H220">
        <v>3.9639544958100001E-2</v>
      </c>
      <c r="I220" t="str">
        <f>VLOOKUP(C220, Table1[[#All],[Entry]:[Length]], 5,FALSE)</f>
        <v>LOC116308546</v>
      </c>
      <c r="J220" t="str">
        <f>IF(C220= "NA", "", VLOOKUP(C220, Table1[[#All],[Entry]:[Length]], 5,FALSE))</f>
        <v>LOC116308546</v>
      </c>
    </row>
    <row r="221" spans="1:10" x14ac:dyDescent="0.25">
      <c r="A221" t="s">
        <v>403</v>
      </c>
      <c r="B221" t="s">
        <v>420</v>
      </c>
      <c r="C221" t="s">
        <v>421</v>
      </c>
      <c r="D221">
        <v>27.9129211849943</v>
      </c>
      <c r="E221">
        <v>0.72369754817179199</v>
      </c>
      <c r="F221">
        <v>0.91355399885087496</v>
      </c>
      <c r="G221" s="1">
        <v>1.6744343753338499E-5</v>
      </c>
      <c r="H221">
        <v>5.4445163955299698E-2</v>
      </c>
      <c r="I221" t="str">
        <f>VLOOKUP(C221, Table1[[#All],[Entry]:[Length]], 5,FALSE)</f>
        <v>LOC116294676</v>
      </c>
      <c r="J221" t="str">
        <f>IF(C221= "NA", "", VLOOKUP(C221, Table1[[#All],[Entry]:[Length]], 5,FALSE))</f>
        <v>LOC116294676</v>
      </c>
    </row>
    <row r="222" spans="1:10" x14ac:dyDescent="0.25">
      <c r="A222" t="s">
        <v>403</v>
      </c>
      <c r="B222" t="s">
        <v>422</v>
      </c>
      <c r="C222" t="s">
        <v>423</v>
      </c>
      <c r="D222">
        <v>163.23935430103401</v>
      </c>
      <c r="E222">
        <v>0.748758779142224</v>
      </c>
      <c r="F222">
        <v>1.0233922863496201</v>
      </c>
      <c r="G222" s="1">
        <v>1.9013790412321199E-5</v>
      </c>
      <c r="H222">
        <v>5.5641956262616803E-2</v>
      </c>
      <c r="I222" t="str">
        <f>VLOOKUP(C222, Table1[[#All],[Entry]:[Length]], 5,FALSE)</f>
        <v>PACLA_8A079117</v>
      </c>
      <c r="J222" t="str">
        <f>IF(C222= "NA", "", VLOOKUP(C222, Table1[[#All],[Entry]:[Length]], 5,FALSE))</f>
        <v>PACLA_8A079117</v>
      </c>
    </row>
    <row r="223" spans="1:10" x14ac:dyDescent="0.25">
      <c r="A223" t="s">
        <v>403</v>
      </c>
      <c r="B223" t="s">
        <v>424</v>
      </c>
      <c r="C223" t="s">
        <v>425</v>
      </c>
      <c r="D223">
        <v>42.156485071802599</v>
      </c>
      <c r="E223">
        <v>0.48377405293348302</v>
      </c>
      <c r="F223">
        <v>1.0247968664574001</v>
      </c>
      <c r="G223" s="1">
        <v>3.9945296739217601E-5</v>
      </c>
      <c r="H223">
        <v>9.7413263648038498E-2</v>
      </c>
      <c r="I223" t="str">
        <f>VLOOKUP(C223, Table1[[#All],[Entry]:[Length]], 5,FALSE)</f>
        <v/>
      </c>
      <c r="J223" t="str">
        <f>IF(C223= "NA", "", VLOOKUP(C223, Table1[[#All],[Entry]:[Length]], 5,FALSE))</f>
        <v/>
      </c>
    </row>
    <row r="224" spans="1:10" x14ac:dyDescent="0.25">
      <c r="A224" t="s">
        <v>403</v>
      </c>
      <c r="B224" t="s">
        <v>426</v>
      </c>
      <c r="C224" t="s">
        <v>427</v>
      </c>
      <c r="D224">
        <v>35.556449571547098</v>
      </c>
      <c r="E224">
        <v>0.463210903146694</v>
      </c>
      <c r="F224">
        <v>0.85801382466044596</v>
      </c>
      <c r="G224" s="1">
        <v>3.8866183005910797E-5</v>
      </c>
      <c r="H224">
        <v>9.7413263648038498E-2</v>
      </c>
      <c r="I224" t="str">
        <f>VLOOKUP(C224, Table1[[#All],[Entry]:[Length]], 5,FALSE)</f>
        <v>LOC116299426</v>
      </c>
      <c r="J224" t="str">
        <f>IF(C224= "NA", "", VLOOKUP(C224, Table1[[#All],[Entry]:[Length]], 5,FALSE))</f>
        <v>LOC116299426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AB4742-8F6E-45C3-A01F-2D8E66066EDC}">
  <dimension ref="A1:J224"/>
  <sheetViews>
    <sheetView workbookViewId="0">
      <selection activeCell="J224" sqref="A1:J224"/>
    </sheetView>
  </sheetViews>
  <sheetFormatPr defaultRowHeight="15" x14ac:dyDescent="0.25"/>
  <cols>
    <col min="1" max="1" width="10.7109375" bestFit="1" customWidth="1"/>
    <col min="2" max="2" width="35.42578125" bestFit="1" customWidth="1"/>
    <col min="3" max="3" width="12.85546875" bestFit="1" customWidth="1"/>
    <col min="4" max="4" width="22.85546875" bestFit="1" customWidth="1"/>
    <col min="5" max="5" width="101.140625" bestFit="1" customWidth="1"/>
    <col min="6" max="6" width="9.5703125" style="3" bestFit="1" customWidth="1"/>
    <col min="7" max="8" width="9.28515625" style="3" bestFit="1" customWidth="1"/>
    <col min="9" max="10" width="9.140625" style="2"/>
  </cols>
  <sheetData>
    <row r="1" spans="1:10" x14ac:dyDescent="0.25">
      <c r="A1" t="s">
        <v>0</v>
      </c>
      <c r="B1" t="s">
        <v>1</v>
      </c>
      <c r="C1" t="s">
        <v>1172</v>
      </c>
      <c r="D1" t="s">
        <v>1171</v>
      </c>
      <c r="E1" t="s">
        <v>1173</v>
      </c>
      <c r="F1" s="3" t="s">
        <v>2</v>
      </c>
      <c r="G1" s="3" t="s">
        <v>3</v>
      </c>
      <c r="H1" s="3" t="s">
        <v>4</v>
      </c>
      <c r="I1" s="2" t="s">
        <v>5</v>
      </c>
      <c r="J1" s="2" t="s">
        <v>6</v>
      </c>
    </row>
    <row r="2" spans="1:10" x14ac:dyDescent="0.25">
      <c r="A2" t="s">
        <v>7</v>
      </c>
      <c r="B2" t="s">
        <v>8</v>
      </c>
      <c r="C2" t="s">
        <v>9</v>
      </c>
      <c r="D2" t="str">
        <f>_xlfn.LET(_xlpm.x,VLOOKUP(C2,Table1[[#All],[Entry]:[Length]],5,FALSE),IF(C2="NA","NA",IF(_xlpm.x="","NA",_xlpm.x)))</f>
        <v>LOC116287521</v>
      </c>
      <c r="E2" t="str">
        <f>_xlfn.LET(_xlpm.x,VLOOKUP(C2,Table1[[#All],[Entry]:[Length]],4,FALSE),IF(C2="NA","NA",IF(_xlpm.x="","NA",_xlpm.x)))</f>
        <v>Uncharacterized protein LOC116287521</v>
      </c>
      <c r="F2" s="3">
        <v>57.892715972498102</v>
      </c>
      <c r="G2" s="3">
        <v>5.7148158392687902</v>
      </c>
      <c r="H2" s="3">
        <v>0.69660687141560595</v>
      </c>
      <c r="I2" s="2">
        <v>4.1008241223191298E-17</v>
      </c>
      <c r="J2" s="2">
        <v>1.12046817494126E-12</v>
      </c>
    </row>
    <row r="3" spans="1:10" x14ac:dyDescent="0.25">
      <c r="A3" t="s">
        <v>7</v>
      </c>
      <c r="B3" t="s">
        <v>10</v>
      </c>
      <c r="C3" t="s">
        <v>9</v>
      </c>
      <c r="D3" t="str">
        <f>_xlfn.LET(_xlpm.x,VLOOKUP(C3,Table1[[#All],[Entry]:[Length]],5,FALSE),IF(C3="NA","NA",IF(_xlpm.x="","NA",_xlpm.x)))</f>
        <v>LOC116287521</v>
      </c>
      <c r="E3" t="str">
        <f>_xlfn.LET(_xlpm.x,VLOOKUP(C3,Table1[[#All],[Entry]:[Length]],4,FALSE),IF(C3="NA","NA",IF(_xlpm.x="","NA",_xlpm.x)))</f>
        <v>Uncharacterized protein LOC116287521</v>
      </c>
      <c r="F3" s="3">
        <v>41.383945456517701</v>
      </c>
      <c r="G3" s="3">
        <v>4.6967084468393496</v>
      </c>
      <c r="H3" s="3">
        <v>0.78464221881671803</v>
      </c>
      <c r="I3" s="2">
        <v>3.4386385816881397E-11</v>
      </c>
      <c r="J3" s="2">
        <v>4.3680646093534002E-7</v>
      </c>
    </row>
    <row r="4" spans="1:10" x14ac:dyDescent="0.25">
      <c r="A4" t="s">
        <v>7</v>
      </c>
      <c r="B4" t="s">
        <v>11</v>
      </c>
      <c r="C4" t="s">
        <v>12</v>
      </c>
      <c r="D4" t="str">
        <f>_xlfn.LET(_xlpm.x,VLOOKUP(C4,Table1[[#All],[Entry]:[Length]],5,FALSE),IF(C4="NA","NA",IF(_xlpm.x="","NA",_xlpm.x)))</f>
        <v>LOC116286539</v>
      </c>
      <c r="E4" t="str">
        <f>_xlfn.LET(_xlpm.x,VLOOKUP(C4,Table1[[#All],[Entry]:[Length]],4,FALSE),IF(C4="NA","NA",IF(_xlpm.x="","NA",_xlpm.x)))</f>
        <v>Uncharacterized protein LOC116286539</v>
      </c>
      <c r="F4" s="3">
        <v>19120.0956142168</v>
      </c>
      <c r="G4" s="3">
        <v>-1.2792981872118401</v>
      </c>
      <c r="H4" s="3">
        <v>0.20721323176516199</v>
      </c>
      <c r="I4" s="2">
        <v>4.7960303876075797E-11</v>
      </c>
      <c r="J4" s="2">
        <v>4.3680646093534002E-7</v>
      </c>
    </row>
    <row r="5" spans="1:10" x14ac:dyDescent="0.25">
      <c r="A5" t="s">
        <v>7</v>
      </c>
      <c r="B5" t="s">
        <v>13</v>
      </c>
      <c r="C5" t="s">
        <v>14</v>
      </c>
      <c r="D5" t="str">
        <f>_xlfn.LET(_xlpm.x,VLOOKUP(C5,Table1[[#All],[Entry]:[Length]],5,FALSE),IF(C5="NA","NA",IF(_xlpm.x="","NA",_xlpm.x)))</f>
        <v>LOC116305468</v>
      </c>
      <c r="E5" t="str">
        <f>_xlfn.LET(_xlpm.x,VLOOKUP(C5,Table1[[#All],[Entry]:[Length]],4,FALSE),IF(C5="NA","NA",IF(_xlpm.x="","NA",_xlpm.x)))</f>
        <v>ETS domain-containing transcription factor ERF-like</v>
      </c>
      <c r="F5" s="3">
        <v>636.64971324713804</v>
      </c>
      <c r="G5" s="3">
        <v>-1.49751345483186</v>
      </c>
      <c r="H5" s="3">
        <v>0.28349467725642002</v>
      </c>
      <c r="I5" s="2">
        <v>3.01232594378764E-9</v>
      </c>
      <c r="J5" s="2">
        <v>2.0576445440527401E-5</v>
      </c>
    </row>
    <row r="6" spans="1:10" x14ac:dyDescent="0.25">
      <c r="A6" t="s">
        <v>7</v>
      </c>
      <c r="B6" t="s">
        <v>15</v>
      </c>
      <c r="C6" t="s">
        <v>16</v>
      </c>
      <c r="D6" t="str">
        <f>_xlfn.LET(_xlpm.x,VLOOKUP(C6,Table1[[#All],[Entry]:[Length]],5,FALSE),IF(C6="NA","NA",IF(_xlpm.x="","NA",_xlpm.x)))</f>
        <v>LOC116304274</v>
      </c>
      <c r="E6" t="str">
        <f>_xlfn.LET(_xlpm.x,VLOOKUP(C6,Table1[[#All],[Entry]:[Length]],4,FALSE),IF(C6="NA","NA",IF(_xlpm.x="","NA",_xlpm.x)))</f>
        <v>Scavenger receptor cysteine-rich type 1 protein M160-like</v>
      </c>
      <c r="F6" s="3">
        <v>60.212015662733897</v>
      </c>
      <c r="G6" s="3">
        <v>-3.0277712218816601</v>
      </c>
      <c r="H6" s="3">
        <v>0.95659934935100199</v>
      </c>
      <c r="I6" s="2">
        <v>2.43200024615512E-8</v>
      </c>
      <c r="J6" s="2">
        <v>1.1074923787616001E-4</v>
      </c>
    </row>
    <row r="7" spans="1:10" x14ac:dyDescent="0.25">
      <c r="A7" t="s">
        <v>7</v>
      </c>
      <c r="B7" t="s">
        <v>17</v>
      </c>
      <c r="C7" t="s">
        <v>18</v>
      </c>
      <c r="D7" t="str">
        <f>_xlfn.LET(_xlpm.x,VLOOKUP(C7,Table1[[#All],[Entry]:[Length]],5,FALSE),IF(C7="NA","NA",IF(_xlpm.x="","NA",_xlpm.x)))</f>
        <v>LOC116296164</v>
      </c>
      <c r="E7" t="str">
        <f>_xlfn.LET(_xlpm.x,VLOOKUP(C7,Table1[[#All],[Entry]:[Length]],4,FALSE),IF(C7="NA","NA",IF(_xlpm.x="","NA",_xlpm.x)))</f>
        <v>Hemicentin-1-like</v>
      </c>
      <c r="F7" s="3">
        <v>17546.716256677599</v>
      </c>
      <c r="G7" s="3">
        <v>-1.43741446179411</v>
      </c>
      <c r="H7" s="3">
        <v>0.29009194318736198</v>
      </c>
      <c r="I7" s="2">
        <v>2.1190416111412699E-8</v>
      </c>
      <c r="J7" s="2">
        <v>1.1074923787616001E-4</v>
      </c>
    </row>
    <row r="8" spans="1:10" x14ac:dyDescent="0.25">
      <c r="A8" t="s">
        <v>7</v>
      </c>
      <c r="B8" t="s">
        <v>19</v>
      </c>
      <c r="C8" t="s">
        <v>20</v>
      </c>
      <c r="D8" t="str">
        <f>_xlfn.LET(_xlpm.x,VLOOKUP(C8,Table1[[#All],[Entry]:[Length]],5,FALSE),IF(C8="NA","NA",IF(_xlpm.x="","NA",_xlpm.x)))</f>
        <v>NA</v>
      </c>
      <c r="E8" t="str">
        <f>_xlfn.LET(_xlpm.x,VLOOKUP(C8,Table1[[#All],[Entry]:[Length]],4,FALSE),IF(C8="NA","NA",IF(_xlpm.x="","NA",_xlpm.x)))</f>
        <v>ISXO2-like transposase domain-containing protein</v>
      </c>
      <c r="F8" s="3">
        <v>46.977564827131999</v>
      </c>
      <c r="G8" s="3">
        <v>1.83850843430279</v>
      </c>
      <c r="H8" s="3">
        <v>0.481569627053891</v>
      </c>
      <c r="I8" s="2">
        <v>1.34636601242527E-7</v>
      </c>
      <c r="J8" s="2">
        <v>4.5983448196869402E-4</v>
      </c>
    </row>
    <row r="9" spans="1:10" x14ac:dyDescent="0.25">
      <c r="A9" t="s">
        <v>7</v>
      </c>
      <c r="B9" t="s">
        <v>21</v>
      </c>
      <c r="C9" t="s">
        <v>22</v>
      </c>
      <c r="D9" t="str">
        <f>_xlfn.LET(_xlpm.x,VLOOKUP(C9,Table1[[#All],[Entry]:[Length]],5,FALSE),IF(C9="NA","NA",IF(_xlpm.x="","NA",_xlpm.x)))</f>
        <v>NA</v>
      </c>
      <c r="E9" t="str">
        <f>_xlfn.LET(_xlpm.x,VLOOKUP(C9,Table1[[#All],[Entry]:[Length]],4,FALSE),IF(C9="NA","NA",IF(_xlpm.x="","NA",_xlpm.x)))</f>
        <v>Blue chromoprotein 2</v>
      </c>
      <c r="F9" s="3">
        <v>286.04975407414003</v>
      </c>
      <c r="G9" s="3">
        <v>1.5073110980614199</v>
      </c>
      <c r="H9" s="3">
        <v>0.33865520153353601</v>
      </c>
      <c r="I9" s="2">
        <v>1.29121318130069E-7</v>
      </c>
      <c r="J9" s="2">
        <v>4.5983448196869402E-4</v>
      </c>
    </row>
    <row r="10" spans="1:10" x14ac:dyDescent="0.25">
      <c r="A10" t="s">
        <v>7</v>
      </c>
      <c r="B10" t="s">
        <v>23</v>
      </c>
      <c r="C10" t="s">
        <v>24</v>
      </c>
      <c r="D10" t="str">
        <f>_xlfn.LET(_xlpm.x,VLOOKUP(C10,Table1[[#All],[Entry]:[Length]],5,FALSE),IF(C10="NA","NA",IF(_xlpm.x="","NA",_xlpm.x)))</f>
        <v>LOC116298417</v>
      </c>
      <c r="E10" t="str">
        <f>_xlfn.LET(_xlpm.x,VLOOKUP(C10,Table1[[#All],[Entry]:[Length]],4,FALSE),IF(C10="NA","NA",IF(_xlpm.x="","NA",_xlpm.x)))</f>
        <v>Equistatin</v>
      </c>
      <c r="F10" s="3">
        <v>38.2666274513602</v>
      </c>
      <c r="G10" s="3">
        <v>-1.84895183106884</v>
      </c>
      <c r="H10" s="3">
        <v>0.51633916141264302</v>
      </c>
      <c r="I10" s="2">
        <v>2.2473394036809201E-7</v>
      </c>
      <c r="J10" s="2">
        <v>6.1936354889280095E-4</v>
      </c>
    </row>
    <row r="11" spans="1:10" x14ac:dyDescent="0.25">
      <c r="A11" t="s">
        <v>7</v>
      </c>
      <c r="B11" t="s">
        <v>25</v>
      </c>
      <c r="C11" t="s">
        <v>26</v>
      </c>
      <c r="D11" t="str">
        <f>_xlfn.LET(_xlpm.x,VLOOKUP(C11,Table1[[#All],[Entry]:[Length]],5,FALSE),IF(C11="NA","NA",IF(_xlpm.x="","NA",_xlpm.x)))</f>
        <v>LOC116298580</v>
      </c>
      <c r="E11" t="str">
        <f>_xlfn.LET(_xlpm.x,VLOOKUP(C11,Table1[[#All],[Entry]:[Length]],4,FALSE),IF(C11="NA","NA",IF(_xlpm.x="","NA",_xlpm.x)))</f>
        <v>Mitochondrial glutamate carrier 2 (Glutamate/H(+) symporter 2) (Solute carrier family 25 member 18)</v>
      </c>
      <c r="F11" s="3">
        <v>1406.36035182457</v>
      </c>
      <c r="G11" s="3">
        <v>1.5962957118832799</v>
      </c>
      <c r="H11" s="3">
        <v>0.385157120305194</v>
      </c>
      <c r="I11" s="2">
        <v>2.2668211722461E-7</v>
      </c>
      <c r="J11" s="2">
        <v>6.1936354889280095E-4</v>
      </c>
    </row>
    <row r="12" spans="1:10" x14ac:dyDescent="0.25">
      <c r="A12" t="s">
        <v>7</v>
      </c>
      <c r="B12" t="s">
        <v>27</v>
      </c>
      <c r="C12" t="s">
        <v>28</v>
      </c>
      <c r="D12" t="str">
        <f>_xlfn.LET(_xlpm.x,VLOOKUP(C12,Table1[[#All],[Entry]:[Length]],5,FALSE),IF(C12="NA","NA",IF(_xlpm.x="","NA",_xlpm.x)))</f>
        <v>LOC116290663</v>
      </c>
      <c r="E12" t="str">
        <f>_xlfn.LET(_xlpm.x,VLOOKUP(C12,Table1[[#All],[Entry]:[Length]],4,FALSE),IF(C12="NA","NA",IF(_xlpm.x="","NA",_xlpm.x)))</f>
        <v>Homeobox protein OTX-like</v>
      </c>
      <c r="F12" s="3">
        <v>17.927689546716302</v>
      </c>
      <c r="G12" s="3">
        <v>2.72154973595002</v>
      </c>
      <c r="H12" s="3">
        <v>1.20665941472972</v>
      </c>
      <c r="I12" s="2">
        <v>3.5117751332201797E-7</v>
      </c>
      <c r="J12" s="2">
        <v>8.6007012158984095E-4</v>
      </c>
    </row>
    <row r="13" spans="1:10" x14ac:dyDescent="0.25">
      <c r="A13" t="s">
        <v>7</v>
      </c>
      <c r="B13" t="s">
        <v>29</v>
      </c>
      <c r="C13" t="s">
        <v>30</v>
      </c>
      <c r="D13" t="str">
        <f>_xlfn.LET(_xlpm.x,VLOOKUP(C13,Table1[[#All],[Entry]:[Length]],5,FALSE),IF(C13="NA","NA",IF(_xlpm.x="","NA",_xlpm.x)))</f>
        <v>LOC116289884</v>
      </c>
      <c r="E13" t="str">
        <f>_xlfn.LET(_xlpm.x,VLOOKUP(C13,Table1[[#All],[Entry]:[Length]],4,FALSE),IF(C13="NA","NA",IF(_xlpm.x="","NA",_xlpm.x)))</f>
        <v>Fibroblast growth factor (FGF)</v>
      </c>
      <c r="F13" s="3">
        <v>876.04214446315598</v>
      </c>
      <c r="G13" s="3">
        <v>1.3680059564283</v>
      </c>
      <c r="H13" s="3">
        <v>0.31587912574886101</v>
      </c>
      <c r="I13" s="2">
        <v>3.7773456278878902E-7</v>
      </c>
      <c r="J13" s="2">
        <v>8.6007012158984095E-4</v>
      </c>
    </row>
    <row r="14" spans="1:10" x14ac:dyDescent="0.25">
      <c r="A14" t="s">
        <v>7</v>
      </c>
      <c r="B14" t="s">
        <v>31</v>
      </c>
      <c r="C14" t="s">
        <v>32</v>
      </c>
      <c r="D14" t="str">
        <f>_xlfn.LET(_xlpm.x,VLOOKUP(C14,Table1[[#All],[Entry]:[Length]],5,FALSE),IF(C14="NA","NA",IF(_xlpm.x="","NA",_xlpm.x)))</f>
        <v>LOC116304867</v>
      </c>
      <c r="E14" t="str">
        <f>_xlfn.LET(_xlpm.x,VLOOKUP(C14,Table1[[#All],[Entry]:[Length]],4,FALSE),IF(C14="NA","NA",IF(_xlpm.x="","NA",_xlpm.x)))</f>
        <v>Uncharacterized protein LOC116304867 isoform X1</v>
      </c>
      <c r="F14" s="3">
        <v>909.30514464427404</v>
      </c>
      <c r="G14" s="3">
        <v>-1.3723228359845601</v>
      </c>
      <c r="H14" s="3">
        <v>0.32215234537320098</v>
      </c>
      <c r="I14" s="2">
        <v>4.6543280073916902E-7</v>
      </c>
      <c r="J14" s="2">
        <v>9.7823233958433189E-4</v>
      </c>
    </row>
    <row r="15" spans="1:10" x14ac:dyDescent="0.25">
      <c r="A15" t="s">
        <v>7</v>
      </c>
      <c r="B15" t="s">
        <v>33</v>
      </c>
      <c r="C15" t="s">
        <v>34</v>
      </c>
      <c r="D15" t="str">
        <f>_xlfn.LET(_xlpm.x,VLOOKUP(C15,Table1[[#All],[Entry]:[Length]],5,FALSE),IF(C15="NA","NA",IF(_xlpm.x="","NA",_xlpm.x)))</f>
        <v>LOC116297048</v>
      </c>
      <c r="E15" t="str">
        <f>_xlfn.LET(_xlpm.x,VLOOKUP(C15,Table1[[#All],[Entry]:[Length]],4,FALSE),IF(C15="NA","NA",IF(_xlpm.x="","NA",_xlpm.x)))</f>
        <v>Uncharacterized protein LOC116297048</v>
      </c>
      <c r="F15" s="3">
        <v>526.74639278969698</v>
      </c>
      <c r="G15" s="3">
        <v>-1.0280875978398101</v>
      </c>
      <c r="H15" s="3">
        <v>0.22980324753860101</v>
      </c>
      <c r="I15" s="2">
        <v>8.4014432261786295E-7</v>
      </c>
      <c r="J15" s="2">
        <v>1.63966166620628E-3</v>
      </c>
    </row>
    <row r="16" spans="1:10" x14ac:dyDescent="0.25">
      <c r="A16" t="s">
        <v>7</v>
      </c>
      <c r="B16" t="s">
        <v>35</v>
      </c>
      <c r="C16" t="s">
        <v>36</v>
      </c>
      <c r="D16" t="str">
        <f>_xlfn.LET(_xlpm.x,VLOOKUP(C16,Table1[[#All],[Entry]:[Length]],5,FALSE),IF(C16="NA","NA",IF(_xlpm.x="","NA",_xlpm.x)))</f>
        <v>LOC116297351</v>
      </c>
      <c r="E16" t="str">
        <f>_xlfn.LET(_xlpm.x,VLOOKUP(C16,Table1[[#All],[Entry]:[Length]],4,FALSE),IF(C16="NA","NA",IF(_xlpm.x="","NA",_xlpm.x)))</f>
        <v>Hemicentin-2-like</v>
      </c>
      <c r="F16" s="3">
        <v>829.47834451391395</v>
      </c>
      <c r="G16" s="3">
        <v>1.52064753346253</v>
      </c>
      <c r="H16" s="3">
        <v>0.41835859348222298</v>
      </c>
      <c r="I16" s="2">
        <v>1.13489383996057E-6</v>
      </c>
      <c r="J16" s="2">
        <v>2.0040615354894602E-3</v>
      </c>
    </row>
    <row r="17" spans="1:10" x14ac:dyDescent="0.25">
      <c r="A17" t="s">
        <v>7</v>
      </c>
      <c r="B17" t="s">
        <v>37</v>
      </c>
      <c r="C17" t="s">
        <v>38</v>
      </c>
      <c r="D17" t="str">
        <f>_xlfn.LET(_xlpm.x,VLOOKUP(C17,Table1[[#All],[Entry]:[Length]],5,FALSE),IF(C17="NA","NA",IF(_xlpm.x="","NA",_xlpm.x)))</f>
        <v>NA</v>
      </c>
      <c r="E17" t="str">
        <f>_xlfn.LET(_xlpm.x,VLOOKUP(C17,Table1[[#All],[Entry]:[Length]],4,FALSE),IF(C17="NA","NA",IF(_xlpm.x="","NA",_xlpm.x)))</f>
        <v>F5/8 type C domain-containing protein</v>
      </c>
      <c r="F17" s="3">
        <v>504.36906180821802</v>
      </c>
      <c r="G17" s="3">
        <v>1.0120332945414301</v>
      </c>
      <c r="H17" s="3">
        <v>0.230714244001853</v>
      </c>
      <c r="I17" s="2">
        <v>1.1735528517304601E-6</v>
      </c>
      <c r="J17" s="2">
        <v>2.0040615354894602E-3</v>
      </c>
    </row>
    <row r="18" spans="1:10" x14ac:dyDescent="0.25">
      <c r="A18" t="s">
        <v>7</v>
      </c>
      <c r="B18" t="s">
        <v>39</v>
      </c>
      <c r="C18" t="s">
        <v>40</v>
      </c>
      <c r="D18" t="str">
        <f>_xlfn.LET(_xlpm.x,VLOOKUP(C18,Table1[[#All],[Entry]:[Length]],5,FALSE),IF(C18="NA","NA",IF(_xlpm.x="","NA",_xlpm.x)))</f>
        <v>LOC116291011</v>
      </c>
      <c r="E18" t="str">
        <f>_xlfn.LET(_xlpm.x,VLOOKUP(C18,Table1[[#All],[Entry]:[Length]],4,FALSE),IF(C18="NA","NA",IF(_xlpm.x="","NA",_xlpm.x)))</f>
        <v>Tenascin-like</v>
      </c>
      <c r="F18" s="3">
        <v>739.78975715156605</v>
      </c>
      <c r="G18" s="3">
        <v>-1.39352042555331</v>
      </c>
      <c r="H18" s="3">
        <v>0.38030042354175397</v>
      </c>
      <c r="I18" s="2">
        <v>1.8659067319998201E-6</v>
      </c>
      <c r="J18" s="2">
        <v>2.9989511552018298E-3</v>
      </c>
    </row>
    <row r="19" spans="1:10" x14ac:dyDescent="0.25">
      <c r="A19" t="s">
        <v>7</v>
      </c>
      <c r="B19" t="s">
        <v>41</v>
      </c>
      <c r="C19" t="s">
        <v>42</v>
      </c>
      <c r="D19" t="str">
        <f>_xlfn.LET(_xlpm.x,VLOOKUP(C19,Table1[[#All],[Entry]:[Length]],5,FALSE),IF(C19="NA","NA",IF(_xlpm.x="","NA",_xlpm.x)))</f>
        <v>LOC116307630</v>
      </c>
      <c r="E19" t="str">
        <f>_xlfn.LET(_xlpm.x,VLOOKUP(C19,Table1[[#All],[Entry]:[Length]],4,FALSE),IF(C19="NA","NA",IF(_xlpm.x="","NA",_xlpm.x)))</f>
        <v>Uncharacterized protein LOC116307630 isoform X1</v>
      </c>
      <c r="F19" s="3">
        <v>301.727982069017</v>
      </c>
      <c r="G19" s="3">
        <v>1.52996557772784</v>
      </c>
      <c r="H19" s="3">
        <v>0.48643327457660701</v>
      </c>
      <c r="I19" s="2">
        <v>2.4120612707820499E-6</v>
      </c>
      <c r="J19" s="2">
        <v>3.66137500564322E-3</v>
      </c>
    </row>
    <row r="20" spans="1:10" x14ac:dyDescent="0.25">
      <c r="A20" t="s">
        <v>7</v>
      </c>
      <c r="B20" t="s">
        <v>43</v>
      </c>
      <c r="C20" t="s">
        <v>42</v>
      </c>
      <c r="D20" t="str">
        <f>_xlfn.LET(_xlpm.x,VLOOKUP(C20,Table1[[#All],[Entry]:[Length]],5,FALSE),IF(C20="NA","NA",IF(_xlpm.x="","NA",_xlpm.x)))</f>
        <v>LOC116307630</v>
      </c>
      <c r="E20" t="str">
        <f>_xlfn.LET(_xlpm.x,VLOOKUP(C20,Table1[[#All],[Entry]:[Length]],4,FALSE),IF(C20="NA","NA",IF(_xlpm.x="","NA",_xlpm.x)))</f>
        <v>Uncharacterized protein LOC116307630 isoform X1</v>
      </c>
      <c r="F20" s="3">
        <v>327.43111420146698</v>
      </c>
      <c r="G20" s="3">
        <v>1.4827423666973201</v>
      </c>
      <c r="H20" s="3">
        <v>0.49497962331553802</v>
      </c>
      <c r="I20" s="2">
        <v>3.61104536256206E-6</v>
      </c>
      <c r="J20" s="2">
        <v>5.0679984294129902E-3</v>
      </c>
    </row>
    <row r="21" spans="1:10" x14ac:dyDescent="0.25">
      <c r="A21" t="s">
        <v>7</v>
      </c>
      <c r="B21" t="s">
        <v>44</v>
      </c>
      <c r="C21" t="s">
        <v>45</v>
      </c>
      <c r="D21" t="str">
        <f>_xlfn.LET(_xlpm.x,VLOOKUP(C21,Table1[[#All],[Entry]:[Length]],5,FALSE),IF(C21="NA","NA",IF(_xlpm.x="","NA",_xlpm.x)))</f>
        <v>LOC116290330</v>
      </c>
      <c r="E21" t="str">
        <f>_xlfn.LET(_xlpm.x,VLOOKUP(C21,Table1[[#All],[Entry]:[Length]],4,FALSE),IF(C21="NA","NA",IF(_xlpm.x="","NA",_xlpm.x)))</f>
        <v>Uncharacterized protein LOC116290330 isoform X1</v>
      </c>
      <c r="F21" s="3">
        <v>156.12698904220699</v>
      </c>
      <c r="G21" s="3">
        <v>0.97258723651627399</v>
      </c>
      <c r="H21" s="3">
        <v>0.24317118456610901</v>
      </c>
      <c r="I21" s="2">
        <v>3.7096939790015701E-6</v>
      </c>
      <c r="J21" s="2">
        <v>5.0679984294129902E-3</v>
      </c>
    </row>
    <row r="22" spans="1:10" x14ac:dyDescent="0.25">
      <c r="A22" t="s">
        <v>7</v>
      </c>
      <c r="B22" t="s">
        <v>46</v>
      </c>
      <c r="C22" t="s">
        <v>47</v>
      </c>
      <c r="D22" t="str">
        <f>_xlfn.LET(_xlpm.x,VLOOKUP(C22,Table1[[#All],[Entry]:[Length]],5,FALSE),IF(C22="NA","NA",IF(_xlpm.x="","NA",_xlpm.x)))</f>
        <v>LOC116303633</v>
      </c>
      <c r="E22" t="str">
        <f>_xlfn.LET(_xlpm.x,VLOOKUP(C22,Table1[[#All],[Entry]:[Length]],4,FALSE),IF(C22="NA","NA",IF(_xlpm.x="","NA",_xlpm.x)))</f>
        <v>Uncharacterized protein LOC116303633</v>
      </c>
      <c r="F22" s="3">
        <v>25.189608398287199</v>
      </c>
      <c r="G22" s="3">
        <v>1.5792851569573401</v>
      </c>
      <c r="H22" s="3">
        <v>0.73578535968390002</v>
      </c>
      <c r="I22" s="2">
        <v>4.8937116472588099E-6</v>
      </c>
      <c r="J22" s="2">
        <v>6.36718492085964E-3</v>
      </c>
    </row>
    <row r="23" spans="1:10" x14ac:dyDescent="0.25">
      <c r="A23" t="s">
        <v>7</v>
      </c>
      <c r="B23" t="s">
        <v>48</v>
      </c>
      <c r="C23" t="s">
        <v>49</v>
      </c>
      <c r="D23" t="str">
        <f>_xlfn.LET(_xlpm.x,VLOOKUP(C23,Table1[[#All],[Entry]:[Length]],5,FALSE),IF(C23="NA","NA",IF(_xlpm.x="","NA",_xlpm.x)))</f>
        <v>LOC116294921</v>
      </c>
      <c r="E23" t="str">
        <f>_xlfn.LET(_xlpm.x,VLOOKUP(C23,Table1[[#All],[Entry]:[Length]],4,FALSE),IF(C23="NA","NA",IF(_xlpm.x="","NA",_xlpm.x)))</f>
        <v>Uncharacterized protein LOC116294921</v>
      </c>
      <c r="F23" s="3">
        <v>488.70964169723902</v>
      </c>
      <c r="G23" s="3">
        <v>-1.0221267739072</v>
      </c>
      <c r="H23" s="3">
        <v>0.27274921380815997</v>
      </c>
      <c r="I23" s="2">
        <v>5.5873117793993196E-6</v>
      </c>
      <c r="J23" s="2">
        <v>6.9391872612967198E-3</v>
      </c>
    </row>
    <row r="24" spans="1:10" x14ac:dyDescent="0.25">
      <c r="A24" t="s">
        <v>7</v>
      </c>
      <c r="B24" t="s">
        <v>50</v>
      </c>
      <c r="C24" t="s">
        <v>51</v>
      </c>
      <c r="D24" t="str">
        <f>_xlfn.LET(_xlpm.x,VLOOKUP(C24,Table1[[#All],[Entry]:[Length]],5,FALSE),IF(C24="NA","NA",IF(_xlpm.x="","NA",_xlpm.x)))</f>
        <v>LOC116290329</v>
      </c>
      <c r="E24" t="str">
        <f>_xlfn.LET(_xlpm.x,VLOOKUP(C24,Table1[[#All],[Entry]:[Length]],4,FALSE),IF(C24="NA","NA",IF(_xlpm.x="","NA",_xlpm.x)))</f>
        <v>Uncharacterized protein LOC116290329 isoform X2</v>
      </c>
      <c r="F24" s="3">
        <v>54.112149552004603</v>
      </c>
      <c r="G24" s="3">
        <v>-1.52153603306789</v>
      </c>
      <c r="H24" s="3">
        <v>0.72248923923293795</v>
      </c>
      <c r="I24" s="2">
        <v>6.3582574905397399E-6</v>
      </c>
      <c r="J24" s="2">
        <v>7.2386112255840599E-3</v>
      </c>
    </row>
    <row r="25" spans="1:10" x14ac:dyDescent="0.25">
      <c r="A25" t="s">
        <v>7</v>
      </c>
      <c r="B25" t="s">
        <v>52</v>
      </c>
      <c r="C25" t="s">
        <v>53</v>
      </c>
      <c r="D25" t="str">
        <f>_xlfn.LET(_xlpm.x,VLOOKUP(C25,Table1[[#All],[Entry]:[Length]],5,FALSE),IF(C25="NA","NA",IF(_xlpm.x="","NA",_xlpm.x)))</f>
        <v>LOC116287407</v>
      </c>
      <c r="E25" t="str">
        <f>_xlfn.LET(_xlpm.x,VLOOKUP(C25,Table1[[#All],[Entry]:[Length]],4,FALSE),IF(C25="NA","NA",IF(_xlpm.x="","NA",_xlpm.x)))</f>
        <v>Uncharacterized protein LOC116287407</v>
      </c>
      <c r="F25" s="3">
        <v>395.04422213376</v>
      </c>
      <c r="G25" s="3">
        <v>-1.3083948962354399</v>
      </c>
      <c r="H25" s="3">
        <v>0.41747441327711698</v>
      </c>
      <c r="I25" s="2">
        <v>6.2018579224634104E-6</v>
      </c>
      <c r="J25" s="2">
        <v>7.2386112255840599E-3</v>
      </c>
    </row>
    <row r="26" spans="1:10" x14ac:dyDescent="0.25">
      <c r="A26" t="s">
        <v>7</v>
      </c>
      <c r="B26" t="s">
        <v>54</v>
      </c>
      <c r="C26" t="s">
        <v>55</v>
      </c>
      <c r="D26" t="str">
        <f>_xlfn.LET(_xlpm.x,VLOOKUP(C26,Table1[[#All],[Entry]:[Length]],5,FALSE),IF(C26="NA","NA",IF(_xlpm.x="","NA",_xlpm.x)))</f>
        <v>LOC116303300</v>
      </c>
      <c r="E26" t="str">
        <f>_xlfn.LET(_xlpm.x,VLOOKUP(C26,Table1[[#All],[Entry]:[Length]],4,FALSE),IF(C26="NA","NA",IF(_xlpm.x="","NA",_xlpm.x)))</f>
        <v>Uncharacterized protein LOC116303300</v>
      </c>
      <c r="F26" s="3">
        <v>308.54355454776902</v>
      </c>
      <c r="G26" s="3">
        <v>-1.43884524540782</v>
      </c>
      <c r="H26" s="3">
        <v>0.56738048821067799</v>
      </c>
      <c r="I26" s="2">
        <v>7.0138554922338004E-6</v>
      </c>
      <c r="J26" s="2">
        <v>7.5020983920517301E-3</v>
      </c>
    </row>
    <row r="27" spans="1:10" x14ac:dyDescent="0.25">
      <c r="A27" t="s">
        <v>7</v>
      </c>
      <c r="B27" t="s">
        <v>56</v>
      </c>
      <c r="C27" t="s">
        <v>57</v>
      </c>
      <c r="D27" t="str">
        <f>_xlfn.LET(_xlpm.x,VLOOKUP(C27,Table1[[#All],[Entry]:[Length]],5,FALSE),IF(C27="NA","NA",IF(_xlpm.x="","NA",_xlpm.x)))</f>
        <v>LOC116302322</v>
      </c>
      <c r="E27" t="str">
        <f>_xlfn.LET(_xlpm.x,VLOOKUP(C27,Table1[[#All],[Entry]:[Length]],4,FALSE),IF(C27="NA","NA",IF(_xlpm.x="","NA",_xlpm.x)))</f>
        <v>Probable calcium-binding protein CML16</v>
      </c>
      <c r="F27" s="3">
        <v>61.5101170559983</v>
      </c>
      <c r="G27" s="3">
        <v>-1.31236553826817</v>
      </c>
      <c r="H27" s="3">
        <v>0.44609751344010101</v>
      </c>
      <c r="I27" s="2">
        <v>7.8444797349146994E-6</v>
      </c>
      <c r="J27" s="2">
        <v>7.5020983920517301E-3</v>
      </c>
    </row>
    <row r="28" spans="1:10" x14ac:dyDescent="0.25">
      <c r="A28" t="s">
        <v>7</v>
      </c>
      <c r="B28" t="s">
        <v>58</v>
      </c>
      <c r="C28" t="s">
        <v>59</v>
      </c>
      <c r="D28" t="str">
        <f>_xlfn.LET(_xlpm.x,VLOOKUP(C28,Table1[[#All],[Entry]:[Length]],5,FALSE),IF(C28="NA","NA",IF(_xlpm.x="","NA",_xlpm.x)))</f>
        <v>LOC116304869</v>
      </c>
      <c r="E28" t="str">
        <f>_xlfn.LET(_xlpm.x,VLOOKUP(C28,Table1[[#All],[Entry]:[Length]],4,FALSE),IF(C28="NA","NA",IF(_xlpm.x="","NA",_xlpm.x)))</f>
        <v>Uncharacterized protein LOC116304869 isoform X2</v>
      </c>
      <c r="F28" s="3">
        <v>254.51777454153401</v>
      </c>
      <c r="G28" s="3">
        <v>-1.2835418724982599</v>
      </c>
      <c r="H28" s="3">
        <v>0.42442115918001899</v>
      </c>
      <c r="I28" s="2">
        <v>7.8910254239956499E-6</v>
      </c>
      <c r="J28" s="2">
        <v>7.5020983920517301E-3</v>
      </c>
    </row>
    <row r="29" spans="1:10" x14ac:dyDescent="0.25">
      <c r="A29" t="s">
        <v>7</v>
      </c>
      <c r="B29" t="s">
        <v>60</v>
      </c>
      <c r="C29" t="s">
        <v>61</v>
      </c>
      <c r="D29" t="str">
        <f>_xlfn.LET(_xlpm.x,VLOOKUP(C29,Table1[[#All],[Entry]:[Length]],5,FALSE),IF(C29="NA","NA",IF(_xlpm.x="","NA",_xlpm.x)))</f>
        <v>LOC116287833</v>
      </c>
      <c r="E29" t="str">
        <f>_xlfn.LET(_xlpm.x,VLOOKUP(C29,Table1[[#All],[Entry]:[Length]],4,FALSE),IF(C29="NA","NA",IF(_xlpm.x="","NA",_xlpm.x)))</f>
        <v>Uncharacterized protein LOC116287833 isoform X1</v>
      </c>
      <c r="F29" s="3">
        <v>595.66496627539198</v>
      </c>
      <c r="G29" s="3">
        <v>-0.96665834985107901</v>
      </c>
      <c r="H29" s="3">
        <v>0.26737047181451101</v>
      </c>
      <c r="I29" s="2">
        <v>8.2199628028805996E-6</v>
      </c>
      <c r="J29" s="2">
        <v>7.5020983920517301E-3</v>
      </c>
    </row>
    <row r="30" spans="1:10" x14ac:dyDescent="0.25">
      <c r="A30" t="s">
        <v>7</v>
      </c>
      <c r="B30" t="s">
        <v>62</v>
      </c>
      <c r="C30" t="s">
        <v>63</v>
      </c>
      <c r="D30" t="str">
        <f>_xlfn.LET(_xlpm.x,VLOOKUP(C30,Table1[[#All],[Entry]:[Length]],5,FALSE),IF(C30="NA","NA",IF(_xlpm.x="","NA",_xlpm.x)))</f>
        <v>LOC116296292</v>
      </c>
      <c r="E30" t="str">
        <f>_xlfn.LET(_xlpm.x,VLOOKUP(C30,Table1[[#All],[Entry]:[Length]],4,FALSE),IF(C30="NA","NA",IF(_xlpm.x="","NA",_xlpm.x)))</f>
        <v>Zinc finger protein 143-like isoform X2</v>
      </c>
      <c r="F30" s="3">
        <v>152.36966489807199</v>
      </c>
      <c r="G30" s="3">
        <v>0.88920297623746603</v>
      </c>
      <c r="H30" s="3">
        <v>0.240020719625514</v>
      </c>
      <c r="I30" s="2">
        <v>8.2371244651594595E-6</v>
      </c>
      <c r="J30" s="2">
        <v>7.5020983920517301E-3</v>
      </c>
    </row>
    <row r="31" spans="1:10" x14ac:dyDescent="0.25">
      <c r="A31" t="s">
        <v>7</v>
      </c>
      <c r="B31" t="s">
        <v>64</v>
      </c>
      <c r="C31" t="s">
        <v>65</v>
      </c>
      <c r="D31" t="str">
        <f>_xlfn.LET(_xlpm.x,VLOOKUP(C31,Table1[[#All],[Entry]:[Length]],5,FALSE),IF(C31="NA","NA",IF(_xlpm.x="","NA",_xlpm.x)))</f>
        <v>LOC116302515</v>
      </c>
      <c r="E31" t="str">
        <f>_xlfn.LET(_xlpm.x,VLOOKUP(C31,Table1[[#All],[Entry]:[Length]],4,FALSE),IF(C31="NA","NA",IF(_xlpm.x="","NA",_xlpm.x)))</f>
        <v>Ectodysplasin-A-like isoform X1</v>
      </c>
      <c r="F31" s="3">
        <v>356.65625414533702</v>
      </c>
      <c r="G31" s="3">
        <v>-0.77982878376180997</v>
      </c>
      <c r="H31" s="3">
        <v>0.20133168437368101</v>
      </c>
      <c r="I31" s="2">
        <v>7.1399245368781903E-6</v>
      </c>
      <c r="J31" s="2">
        <v>7.5020983920517301E-3</v>
      </c>
    </row>
    <row r="32" spans="1:10" x14ac:dyDescent="0.25">
      <c r="A32" t="s">
        <v>7</v>
      </c>
      <c r="B32" t="s">
        <v>66</v>
      </c>
      <c r="C32" t="s">
        <v>67</v>
      </c>
      <c r="D32" t="str">
        <f>_xlfn.LET(_xlpm.x,VLOOKUP(C32,Table1[[#All],[Entry]:[Length]],5,FALSE),IF(C32="NA","NA",IF(_xlpm.x="","NA",_xlpm.x)))</f>
        <v>LOC116289868</v>
      </c>
      <c r="E32" t="str">
        <f>_xlfn.LET(_xlpm.x,VLOOKUP(C32,Table1[[#All],[Entry]:[Length]],4,FALSE),IF(C32="NA","NA",IF(_xlpm.x="","NA",_xlpm.x)))</f>
        <v>Uncharacterized protein LOC116289868</v>
      </c>
      <c r="F32" s="3">
        <v>5354.77166668274</v>
      </c>
      <c r="G32" s="3">
        <v>1.24050611499618</v>
      </c>
      <c r="H32" s="3">
        <v>0.40879932617770798</v>
      </c>
      <c r="I32" s="2">
        <v>9.1125711341802007E-6</v>
      </c>
      <c r="J32" s="2">
        <v>8.0317026161033991E-3</v>
      </c>
    </row>
    <row r="33" spans="1:10" x14ac:dyDescent="0.25">
      <c r="A33" t="s">
        <v>7</v>
      </c>
      <c r="B33" t="s">
        <v>68</v>
      </c>
      <c r="C33" t="s">
        <v>69</v>
      </c>
      <c r="D33" t="str">
        <f>_xlfn.LET(_xlpm.x,VLOOKUP(C33,Table1[[#All],[Entry]:[Length]],5,FALSE),IF(C33="NA","NA",IF(_xlpm.x="","NA",_xlpm.x)))</f>
        <v>LOC116296003</v>
      </c>
      <c r="E33" t="str">
        <f>_xlfn.LET(_xlpm.x,VLOOKUP(C33,Table1[[#All],[Entry]:[Length]],4,FALSE),IF(C33="NA","NA",IF(_xlpm.x="","NA",_xlpm.x)))</f>
        <v>Uncharacterized protein LOC116296003</v>
      </c>
      <c r="F33" s="3">
        <v>37.917201825891503</v>
      </c>
      <c r="G33" s="3">
        <v>1.2442929320763001</v>
      </c>
      <c r="H33" s="3">
        <v>0.426764261289859</v>
      </c>
      <c r="I33" s="2">
        <v>1.0468599782474001E-5</v>
      </c>
      <c r="J33" s="2">
        <v>8.9385484955167901E-3</v>
      </c>
    </row>
    <row r="34" spans="1:10" x14ac:dyDescent="0.25">
      <c r="A34" t="s">
        <v>7</v>
      </c>
      <c r="B34" t="s">
        <v>70</v>
      </c>
      <c r="C34" t="s">
        <v>71</v>
      </c>
      <c r="D34" t="str">
        <f>_xlfn.LET(_xlpm.x,VLOOKUP(C34,Table1[[#All],[Entry]:[Length]],5,FALSE),IF(C34="NA","NA",IF(_xlpm.x="","NA",_xlpm.x)))</f>
        <v>LOC116293477</v>
      </c>
      <c r="E34" t="str">
        <f>_xlfn.LET(_xlpm.x,VLOOKUP(C34,Table1[[#All],[Entry]:[Length]],4,FALSE),IF(C34="NA","NA",IF(_xlpm.x="","NA",_xlpm.x)))</f>
        <v>WAS/WASL-interacting protein family member 3-like isoform X1</v>
      </c>
      <c r="F34" s="3">
        <v>142.25426690691401</v>
      </c>
      <c r="G34" s="3">
        <v>1.1762439294454199</v>
      </c>
      <c r="H34" s="3">
        <v>0.39383833374496902</v>
      </c>
      <c r="I34" s="2">
        <v>1.2115701058885399E-5</v>
      </c>
      <c r="J34" s="2">
        <v>1.00314333343008E-2</v>
      </c>
    </row>
    <row r="35" spans="1:10" x14ac:dyDescent="0.25">
      <c r="A35" t="s">
        <v>7</v>
      </c>
      <c r="B35" t="s">
        <v>72</v>
      </c>
      <c r="C35" t="s">
        <v>73</v>
      </c>
      <c r="D35" t="str">
        <f>_xlfn.LET(_xlpm.x,VLOOKUP(C35,Table1[[#All],[Entry]:[Length]],5,FALSE),IF(C35="NA","NA",IF(_xlpm.x="","NA",_xlpm.x)))</f>
        <v>LOC116295847</v>
      </c>
      <c r="E35" t="str">
        <f>_xlfn.LET(_xlpm.x,VLOOKUP(C35,Table1[[#All],[Entry]:[Length]],4,FALSE),IF(C35="NA","NA",IF(_xlpm.x="","NA",_xlpm.x)))</f>
        <v>lysoplasmalogenase (EC 3.3.2.2)</v>
      </c>
      <c r="F35" s="3">
        <v>208.85228243126801</v>
      </c>
      <c r="G35" s="3">
        <v>-0.73969249642707202</v>
      </c>
      <c r="H35" s="3">
        <v>0.21157937653193601</v>
      </c>
      <c r="I35" s="2">
        <v>1.5019835128017601E-5</v>
      </c>
      <c r="J35" s="2">
        <v>1.2070204564789E-2</v>
      </c>
    </row>
    <row r="36" spans="1:10" x14ac:dyDescent="0.25">
      <c r="A36" t="s">
        <v>7</v>
      </c>
      <c r="B36" t="s">
        <v>74</v>
      </c>
      <c r="C36" t="s">
        <v>75</v>
      </c>
      <c r="D36" t="str">
        <f>_xlfn.LET(_xlpm.x,VLOOKUP(C36,Table1[[#All],[Entry]:[Length]],5,FALSE),IF(C36="NA","NA",IF(_xlpm.x="","NA",_xlpm.x)))</f>
        <v>LOC116297422</v>
      </c>
      <c r="E36" t="str">
        <f>_xlfn.LET(_xlpm.x,VLOOKUP(C36,Table1[[#All],[Entry]:[Length]],4,FALSE),IF(C36="NA","NA",IF(_xlpm.x="","NA",_xlpm.x)))</f>
        <v>Uncharacterized protein LOC116297422</v>
      </c>
      <c r="F36" s="3">
        <v>533.99172123270296</v>
      </c>
      <c r="G36" s="3">
        <v>0.84705000684211595</v>
      </c>
      <c r="H36" s="3">
        <v>0.25051889655413601</v>
      </c>
      <c r="I36" s="2">
        <v>1.5578803699506702E-5</v>
      </c>
      <c r="J36" s="2">
        <v>1.2161704385189201E-2</v>
      </c>
    </row>
    <row r="37" spans="1:10" x14ac:dyDescent="0.25">
      <c r="A37" t="s">
        <v>7</v>
      </c>
      <c r="B37" t="s">
        <v>76</v>
      </c>
      <c r="C37" t="s">
        <v>77</v>
      </c>
      <c r="D37" t="str">
        <f>_xlfn.LET(_xlpm.x,VLOOKUP(C37,Table1[[#All],[Entry]:[Length]],5,FALSE),IF(C37="NA","NA",IF(_xlpm.x="","NA",_xlpm.x)))</f>
        <v>LOC116300558</v>
      </c>
      <c r="E37" t="str">
        <f>_xlfn.LET(_xlpm.x,VLOOKUP(C37,Table1[[#All],[Entry]:[Length]],4,FALSE),IF(C37="NA","NA",IF(_xlpm.x="","NA",_xlpm.x)))</f>
        <v>Uncharacterized protein LOC116300558</v>
      </c>
      <c r="F37" s="3">
        <v>445.98502842921198</v>
      </c>
      <c r="G37" s="3">
        <v>0.89555128247285798</v>
      </c>
      <c r="H37" s="3">
        <v>0.27086672385553001</v>
      </c>
      <c r="I37" s="2">
        <v>1.6053490379542701E-5</v>
      </c>
      <c r="J37" s="2">
        <v>1.21841532677846E-2</v>
      </c>
    </row>
    <row r="38" spans="1:10" x14ac:dyDescent="0.25">
      <c r="A38" t="s">
        <v>7</v>
      </c>
      <c r="B38" t="s">
        <v>78</v>
      </c>
      <c r="C38" t="s">
        <v>79</v>
      </c>
      <c r="D38" t="str">
        <f>_xlfn.LET(_xlpm.x,VLOOKUP(C38,Table1[[#All],[Entry]:[Length]],5,FALSE),IF(C38="NA","NA",IF(_xlpm.x="","NA",_xlpm.x)))</f>
        <v>LOC116308307</v>
      </c>
      <c r="E38" t="str">
        <f>_xlfn.LET(_xlpm.x,VLOOKUP(C38,Table1[[#All],[Entry]:[Length]],4,FALSE),IF(C38="NA","NA",IF(_xlpm.x="","NA",_xlpm.x)))</f>
        <v>Uncharacterized protein LOC116308307</v>
      </c>
      <c r="F38" s="3">
        <v>1044.46226936683</v>
      </c>
      <c r="G38" s="3">
        <v>-1.1404074055985001</v>
      </c>
      <c r="H38" s="3">
        <v>0.40375547499290498</v>
      </c>
      <c r="I38" s="2">
        <v>1.6755319169578101E-5</v>
      </c>
      <c r="J38" s="2">
        <v>1.23731239370373E-2</v>
      </c>
    </row>
    <row r="39" spans="1:10" x14ac:dyDescent="0.25">
      <c r="A39" t="s">
        <v>7</v>
      </c>
      <c r="B39" t="s">
        <v>80</v>
      </c>
      <c r="C39" t="s">
        <v>81</v>
      </c>
      <c r="D39" t="str">
        <f>_xlfn.LET(_xlpm.x,VLOOKUP(C39,Table1[[#All],[Entry]:[Length]],5,FALSE),IF(C39="NA","NA",IF(_xlpm.x="","NA",_xlpm.x)))</f>
        <v>LOC116301420</v>
      </c>
      <c r="E39" t="str">
        <f>_xlfn.LET(_xlpm.x,VLOOKUP(C39,Table1[[#All],[Entry]:[Length]],4,FALSE),IF(C39="NA","NA",IF(_xlpm.x="","NA",_xlpm.x)))</f>
        <v>Uncharacterized protein LOC116301420</v>
      </c>
      <c r="F39" s="3">
        <v>5671.45617331842</v>
      </c>
      <c r="G39" s="3">
        <v>-1.1217847336239499</v>
      </c>
      <c r="H39" s="3">
        <v>0.40959864846798999</v>
      </c>
      <c r="I39" s="2">
        <v>1.9748996209735999E-5</v>
      </c>
      <c r="J39" s="2">
        <v>1.36780053176331E-2</v>
      </c>
    </row>
    <row r="40" spans="1:10" x14ac:dyDescent="0.25">
      <c r="A40" t="s">
        <v>7</v>
      </c>
      <c r="B40" t="s">
        <v>82</v>
      </c>
      <c r="C40" t="s">
        <v>83</v>
      </c>
      <c r="D40" t="str">
        <f>_xlfn.LET(_xlpm.x,VLOOKUP(C40,Table1[[#All],[Entry]:[Length]],5,FALSE),IF(C40="NA","NA",IF(_xlpm.x="","NA",_xlpm.x)))</f>
        <v>NA</v>
      </c>
      <c r="E40" t="str">
        <f>_xlfn.LET(_xlpm.x,VLOOKUP(C40,Table1[[#All],[Entry]:[Length]],4,FALSE),IF(C40="NA","NA",IF(_xlpm.x="","NA",_xlpm.x)))</f>
        <v>NA</v>
      </c>
      <c r="F40" s="3">
        <v>58.651542915247198</v>
      </c>
      <c r="G40" s="3">
        <v>1.07197614643995</v>
      </c>
      <c r="H40" s="3">
        <v>0.37607234993204203</v>
      </c>
      <c r="I40" s="2">
        <v>2.0024163258255801E-5</v>
      </c>
      <c r="J40" s="2">
        <v>1.36780053176331E-2</v>
      </c>
    </row>
    <row r="41" spans="1:10" x14ac:dyDescent="0.25">
      <c r="A41" t="s">
        <v>7</v>
      </c>
      <c r="B41" t="s">
        <v>84</v>
      </c>
      <c r="C41" t="s">
        <v>85</v>
      </c>
      <c r="D41" t="str">
        <f>_xlfn.LET(_xlpm.x,VLOOKUP(C41,Table1[[#All],[Entry]:[Length]],5,FALSE),IF(C41="NA","NA",IF(_xlpm.x="","NA",_xlpm.x)))</f>
        <v>LOC116288027</v>
      </c>
      <c r="E41" t="str">
        <f>_xlfn.LET(_xlpm.x,VLOOKUP(C41,Table1[[#All],[Entry]:[Length]],4,FALSE),IF(C41="NA","NA",IF(_xlpm.x="","NA",_xlpm.x)))</f>
        <v>Homeobox protein SIX6-like</v>
      </c>
      <c r="F41" s="3">
        <v>2246.40328840047</v>
      </c>
      <c r="G41" s="3">
        <v>-0.90962649904898996</v>
      </c>
      <c r="H41" s="3">
        <v>0.288326789749351</v>
      </c>
      <c r="I41" s="2">
        <v>1.9641267788953302E-5</v>
      </c>
      <c r="J41" s="2">
        <v>1.36780053176331E-2</v>
      </c>
    </row>
    <row r="42" spans="1:10" x14ac:dyDescent="0.25">
      <c r="A42" t="s">
        <v>7</v>
      </c>
      <c r="B42" t="s">
        <v>86</v>
      </c>
      <c r="C42" t="s">
        <v>87</v>
      </c>
      <c r="D42" t="str">
        <f>_xlfn.LET(_xlpm.x,VLOOKUP(C42,Table1[[#All],[Entry]:[Length]],5,FALSE),IF(C42="NA","NA",IF(_xlpm.x="","NA",_xlpm.x)))</f>
        <v>NA</v>
      </c>
      <c r="E42" t="str">
        <f>_xlfn.LET(_xlpm.x,VLOOKUP(C42,Table1[[#All],[Entry]:[Length]],4,FALSE),IF(C42="NA","NA",IF(_xlpm.x="","NA",_xlpm.x)))</f>
        <v>Uncharacterized protein</v>
      </c>
      <c r="F42" s="3">
        <v>46.2344665078354</v>
      </c>
      <c r="G42" s="3">
        <v>-1.07888737299716</v>
      </c>
      <c r="H42" s="3">
        <v>0.40745962158032001</v>
      </c>
      <c r="I42" s="2">
        <v>2.5170831556627401E-5</v>
      </c>
      <c r="J42" s="2">
        <v>1.6774210502969001E-2</v>
      </c>
    </row>
    <row r="43" spans="1:10" x14ac:dyDescent="0.25">
      <c r="A43" t="s">
        <v>7</v>
      </c>
      <c r="B43" t="s">
        <v>88</v>
      </c>
      <c r="C43" t="s">
        <v>89</v>
      </c>
      <c r="D43" t="str">
        <f>_xlfn.LET(_xlpm.x,VLOOKUP(C43,Table1[[#All],[Entry]:[Length]],5,FALSE),IF(C43="NA","NA",IF(_xlpm.x="","NA",_xlpm.x)))</f>
        <v>LOC116287404</v>
      </c>
      <c r="E43" t="str">
        <f>_xlfn.LET(_xlpm.x,VLOOKUP(C43,Table1[[#All],[Entry]:[Length]],4,FALSE),IF(C43="NA","NA",IF(_xlpm.x="","NA",_xlpm.x)))</f>
        <v>Uncharacterized protein LOC116287404</v>
      </c>
      <c r="F43" s="3">
        <v>906.191536675159</v>
      </c>
      <c r="G43" s="3">
        <v>-0.912412330993284</v>
      </c>
      <c r="H43" s="3">
        <v>0.30884798924086498</v>
      </c>
      <c r="I43" s="2">
        <v>2.6018035443079899E-5</v>
      </c>
      <c r="J43" s="2">
        <v>1.69259710097922E-2</v>
      </c>
    </row>
    <row r="44" spans="1:10" x14ac:dyDescent="0.25">
      <c r="A44" t="s">
        <v>7</v>
      </c>
      <c r="B44" t="s">
        <v>90</v>
      </c>
      <c r="C44" t="s">
        <v>91</v>
      </c>
      <c r="D44" t="str">
        <f>_xlfn.LET(_xlpm.x,VLOOKUP(C44,Table1[[#All],[Entry]:[Length]],5,FALSE),IF(C44="NA","NA",IF(_xlpm.x="","NA",_xlpm.x)))</f>
        <v>LOC116287085</v>
      </c>
      <c r="E44" t="str">
        <f>_xlfn.LET(_xlpm.x,VLOOKUP(C44,Table1[[#All],[Entry]:[Length]],4,FALSE),IF(C44="NA","NA",IF(_xlpm.x="","NA",_xlpm.x)))</f>
        <v>Homeobox protein Nkx-3.2 (Bagpipe homeobox protein homolog 1)</v>
      </c>
      <c r="F44" s="3">
        <v>52.805046984538102</v>
      </c>
      <c r="G44" s="3">
        <v>-1.0999607550775301</v>
      </c>
      <c r="H44" s="3">
        <v>0.45248653619820101</v>
      </c>
      <c r="I44" s="2">
        <v>2.9953040008122401E-5</v>
      </c>
      <c r="J44" s="2">
        <v>1.9032718887021599E-2</v>
      </c>
    </row>
    <row r="45" spans="1:10" x14ac:dyDescent="0.25">
      <c r="A45" t="s">
        <v>7</v>
      </c>
      <c r="B45" t="s">
        <v>92</v>
      </c>
      <c r="C45" t="s">
        <v>93</v>
      </c>
      <c r="D45" t="str">
        <f>_xlfn.LET(_xlpm.x,VLOOKUP(C45,Table1[[#All],[Entry]:[Length]],5,FALSE),IF(C45="NA","NA",IF(_xlpm.x="","NA",_xlpm.x)))</f>
        <v>LOC116287832</v>
      </c>
      <c r="E45" t="str">
        <f>_xlfn.LET(_xlpm.x,VLOOKUP(C45,Table1[[#All],[Entry]:[Length]],4,FALSE),IF(C45="NA","NA",IF(_xlpm.x="","NA",_xlpm.x)))</f>
        <v>Uncharacterized protein LOC116287832</v>
      </c>
      <c r="F45" s="3">
        <v>128.990034311382</v>
      </c>
      <c r="G45" s="3">
        <v>-1.14241076640783</v>
      </c>
      <c r="H45" s="3">
        <v>0.63843553590293201</v>
      </c>
      <c r="I45" s="2">
        <v>3.9698438354823297E-5</v>
      </c>
      <c r="J45" s="2">
        <v>2.1268243748408602E-2</v>
      </c>
    </row>
    <row r="46" spans="1:10" x14ac:dyDescent="0.25">
      <c r="A46" t="s">
        <v>7</v>
      </c>
      <c r="B46" t="s">
        <v>94</v>
      </c>
      <c r="C46" t="s">
        <v>95</v>
      </c>
      <c r="D46" t="str">
        <f>_xlfn.LET(_xlpm.x,VLOOKUP(C46,Table1[[#All],[Entry]:[Length]],5,FALSE),IF(C46="NA","NA",IF(_xlpm.x="","NA",_xlpm.x)))</f>
        <v>PACLA_8A045298</v>
      </c>
      <c r="E46" t="str">
        <f>_xlfn.LET(_xlpm.x,VLOOKUP(C46,Table1[[#All],[Entry]:[Length]],4,FALSE),IF(C46="NA","NA",IF(_xlpm.x="","NA",_xlpm.x)))</f>
        <v>94 secreted antigen</v>
      </c>
      <c r="F46" s="3">
        <v>21.303881925706001</v>
      </c>
      <c r="G46" s="3">
        <v>1.13161067159281</v>
      </c>
      <c r="H46" s="3">
        <v>0.58128382539368295</v>
      </c>
      <c r="I46" s="2">
        <v>3.9501176631153802E-5</v>
      </c>
      <c r="J46" s="2">
        <v>2.1268243748408602E-2</v>
      </c>
    </row>
    <row r="47" spans="1:10" x14ac:dyDescent="0.25">
      <c r="A47" t="s">
        <v>7</v>
      </c>
      <c r="B47" t="s">
        <v>96</v>
      </c>
      <c r="C47" t="s">
        <v>97</v>
      </c>
      <c r="D47" t="str">
        <f>_xlfn.LET(_xlpm.x,VLOOKUP(C47,Table1[[#All],[Entry]:[Length]],5,FALSE),IF(C47="NA","NA",IF(_xlpm.x="","NA",_xlpm.x)))</f>
        <v>NEMVEDRAFT_v1g244269</v>
      </c>
      <c r="E47" t="str">
        <f>_xlfn.LET(_xlpm.x,VLOOKUP(C47,Table1[[#All],[Entry]:[Length]],4,FALSE),IF(C47="NA","NA",IF(_xlpm.x="","NA",_xlpm.x)))</f>
        <v>Uncharacterized protein</v>
      </c>
      <c r="F47" s="3">
        <v>45.159418129061599</v>
      </c>
      <c r="G47" s="3">
        <v>1.1288823918570301</v>
      </c>
      <c r="H47" s="3">
        <v>0.768345935910275</v>
      </c>
      <c r="I47" s="2">
        <v>3.8370683737175703E-5</v>
      </c>
      <c r="J47" s="2">
        <v>2.1268243748408602E-2</v>
      </c>
    </row>
    <row r="48" spans="1:10" x14ac:dyDescent="0.25">
      <c r="A48" t="s">
        <v>7</v>
      </c>
      <c r="B48" t="s">
        <v>98</v>
      </c>
      <c r="C48" t="s">
        <v>99</v>
      </c>
      <c r="D48" t="str">
        <f>_xlfn.LET(_xlpm.x,VLOOKUP(C48,Table1[[#All],[Entry]:[Length]],5,FALSE),IF(C48="NA","NA",IF(_xlpm.x="","NA",_xlpm.x)))</f>
        <v>LOC116288275</v>
      </c>
      <c r="E48" t="str">
        <f>_xlfn.LET(_xlpm.x,VLOOKUP(C48,Table1[[#All],[Entry]:[Length]],4,FALSE),IF(C48="NA","NA",IF(_xlpm.x="","NA",_xlpm.x)))</f>
        <v>Uncharacterized protein LOC116288275</v>
      </c>
      <c r="F48" s="3">
        <v>73.696445126536304</v>
      </c>
      <c r="G48" s="3">
        <v>1.1157407238735699</v>
      </c>
      <c r="H48" s="3">
        <v>0.80842195391077398</v>
      </c>
      <c r="I48" s="2">
        <v>3.7548129410140698E-5</v>
      </c>
      <c r="J48" s="2">
        <v>2.1268243748408602E-2</v>
      </c>
    </row>
    <row r="49" spans="1:10" x14ac:dyDescent="0.25">
      <c r="A49" t="s">
        <v>7</v>
      </c>
      <c r="B49" t="s">
        <v>100</v>
      </c>
      <c r="C49" t="s">
        <v>101</v>
      </c>
      <c r="D49" t="str">
        <f>_xlfn.LET(_xlpm.x,VLOOKUP(C49,Table1[[#All],[Entry]:[Length]],5,FALSE),IF(C49="NA","NA",IF(_xlpm.x="","NA",_xlpm.x)))</f>
        <v>LOC116308518</v>
      </c>
      <c r="E49" t="str">
        <f>_xlfn.LET(_xlpm.x,VLOOKUP(C49,Table1[[#All],[Entry]:[Length]],4,FALSE),IF(C49="NA","NA",IF(_xlpm.x="","NA",_xlpm.x)))</f>
        <v>Transporter</v>
      </c>
      <c r="F49" s="3">
        <v>9526.69647768498</v>
      </c>
      <c r="G49" s="3">
        <v>1.0930153193623</v>
      </c>
      <c r="H49" s="3">
        <v>0.48646295565838898</v>
      </c>
      <c r="I49" s="2">
        <v>3.6774849060891003E-5</v>
      </c>
      <c r="J49" s="2">
        <v>2.1268243748408602E-2</v>
      </c>
    </row>
    <row r="50" spans="1:10" x14ac:dyDescent="0.25">
      <c r="A50" t="s">
        <v>7</v>
      </c>
      <c r="B50" t="s">
        <v>102</v>
      </c>
      <c r="C50" t="s">
        <v>103</v>
      </c>
      <c r="D50" t="str">
        <f>_xlfn.LET(_xlpm.x,VLOOKUP(C50,Table1[[#All],[Entry]:[Length]],5,FALSE),IF(C50="NA","NA",IF(_xlpm.x="","NA",_xlpm.x)))</f>
        <v>LOC116304569</v>
      </c>
      <c r="E50" t="str">
        <f>_xlfn.LET(_xlpm.x,VLOOKUP(C50,Table1[[#All],[Entry]:[Length]],4,FALSE),IF(C50="NA","NA",IF(_xlpm.x="","NA",_xlpm.x)))</f>
        <v>Basic proline-rich protein-like</v>
      </c>
      <c r="F50" s="3">
        <v>184.53915726706899</v>
      </c>
      <c r="G50" s="3">
        <v>1.0181285550659001</v>
      </c>
      <c r="H50" s="3">
        <v>0.41890536154050301</v>
      </c>
      <c r="I50" s="2">
        <v>3.8772898874458801E-5</v>
      </c>
      <c r="J50" s="2">
        <v>2.1268243748408602E-2</v>
      </c>
    </row>
    <row r="51" spans="1:10" x14ac:dyDescent="0.25">
      <c r="A51" t="s">
        <v>7</v>
      </c>
      <c r="B51" t="s">
        <v>104</v>
      </c>
      <c r="C51" t="s">
        <v>105</v>
      </c>
      <c r="D51" t="str">
        <f>_xlfn.LET(_xlpm.x,VLOOKUP(C51,Table1[[#All],[Entry]:[Length]],5,FALSE),IF(C51="NA","NA",IF(_xlpm.x="","NA",_xlpm.x)))</f>
        <v>LOC116297634</v>
      </c>
      <c r="E51" t="str">
        <f>_xlfn.LET(_xlpm.x,VLOOKUP(C51,Table1[[#All],[Entry]:[Length]],4,FALSE),IF(C51="NA","NA",IF(_xlpm.x="","NA",_xlpm.x)))</f>
        <v>Protein pangolin, isoforms A/H/I/S-like isoform X1</v>
      </c>
      <c r="F51" s="3">
        <v>562.24019099463499</v>
      </c>
      <c r="G51" s="3">
        <v>0.77999374188347403</v>
      </c>
      <c r="H51" s="3">
        <v>0.27421095852111599</v>
      </c>
      <c r="I51" s="2">
        <v>3.8188783907586597E-5</v>
      </c>
      <c r="J51" s="2">
        <v>2.1268243748408602E-2</v>
      </c>
    </row>
    <row r="52" spans="1:10" x14ac:dyDescent="0.25">
      <c r="A52" t="s">
        <v>7</v>
      </c>
      <c r="B52" t="s">
        <v>106</v>
      </c>
      <c r="C52" t="s">
        <v>107</v>
      </c>
      <c r="D52" t="str">
        <f>_xlfn.LET(_xlpm.x,VLOOKUP(C52,Table1[[#All],[Entry]:[Length]],5,FALSE),IF(C52="NA","NA",IF(_xlpm.x="","NA",_xlpm.x)))</f>
        <v>LOC116297222</v>
      </c>
      <c r="E52" t="str">
        <f>_xlfn.LET(_xlpm.x,VLOOKUP(C52,Table1[[#All],[Entry]:[Length]],4,FALSE),IF(C52="NA","NA",IF(_xlpm.x="","NA",_xlpm.x)))</f>
        <v>Uncharacterized protein LOC116297222</v>
      </c>
      <c r="F52" s="3">
        <v>409.57980930834998</v>
      </c>
      <c r="G52" s="3">
        <v>-0.69002087514780797</v>
      </c>
      <c r="H52" s="3">
        <v>1.43612412296071</v>
      </c>
      <c r="I52" s="2">
        <v>3.5263347516966502E-5</v>
      </c>
      <c r="J52" s="2">
        <v>2.1268243748408602E-2</v>
      </c>
    </row>
    <row r="53" spans="1:10" x14ac:dyDescent="0.25">
      <c r="A53" t="s">
        <v>7</v>
      </c>
      <c r="B53" t="s">
        <v>108</v>
      </c>
      <c r="C53" t="s">
        <v>75</v>
      </c>
      <c r="D53" t="str">
        <f>_xlfn.LET(_xlpm.x,VLOOKUP(C53,Table1[[#All],[Entry]:[Length]],5,FALSE),IF(C53="NA","NA",IF(_xlpm.x="","NA",_xlpm.x)))</f>
        <v>LOC116297422</v>
      </c>
      <c r="E53" t="str">
        <f>_xlfn.LET(_xlpm.x,VLOOKUP(C53,Table1[[#All],[Entry]:[Length]],4,FALSE),IF(C53="NA","NA",IF(_xlpm.x="","NA",_xlpm.x)))</f>
        <v>Uncharacterized protein LOC116297422</v>
      </c>
      <c r="F53" s="3">
        <v>1533.6696860125301</v>
      </c>
      <c r="G53" s="3">
        <v>0.807923483734721</v>
      </c>
      <c r="H53" s="3">
        <v>0.29207228115221601</v>
      </c>
      <c r="I53" s="2">
        <v>4.0802156956320201E-5</v>
      </c>
      <c r="J53" s="2">
        <v>2.14391795099526E-2</v>
      </c>
    </row>
    <row r="54" spans="1:10" x14ac:dyDescent="0.25">
      <c r="A54" t="s">
        <v>7</v>
      </c>
      <c r="B54" t="s">
        <v>109</v>
      </c>
      <c r="C54" t="s">
        <v>110</v>
      </c>
      <c r="D54" t="str">
        <f>_xlfn.LET(_xlpm.x,VLOOKUP(C54,Table1[[#All],[Entry]:[Length]],5,FALSE),IF(C54="NA","NA",IF(_xlpm.x="","NA",_xlpm.x)))</f>
        <v>LOC116295161</v>
      </c>
      <c r="E54" t="str">
        <f>_xlfn.LET(_xlpm.x,VLOOKUP(C54,Table1[[#All],[Entry]:[Length]],4,FALSE),IF(C54="NA","NA",IF(_xlpm.x="","NA",_xlpm.x)))</f>
        <v>Neural retina-specific leucine zipper protein</v>
      </c>
      <c r="F54" s="3">
        <v>1957.80962350612</v>
      </c>
      <c r="G54" s="3">
        <v>0.97482186110297198</v>
      </c>
      <c r="H54" s="3">
        <v>0.40137413233507502</v>
      </c>
      <c r="I54" s="2">
        <v>4.3904870861701801E-5</v>
      </c>
      <c r="J54" s="2">
        <v>2.2483900162574701E-2</v>
      </c>
    </row>
    <row r="55" spans="1:10" x14ac:dyDescent="0.25">
      <c r="A55" t="s">
        <v>7</v>
      </c>
      <c r="B55" t="s">
        <v>111</v>
      </c>
      <c r="C55" t="s">
        <v>112</v>
      </c>
      <c r="D55" t="str">
        <f>_xlfn.LET(_xlpm.x,VLOOKUP(C55,Table1[[#All],[Entry]:[Length]],5,FALSE),IF(C55="NA","NA",IF(_xlpm.x="","NA",_xlpm.x)))</f>
        <v>LOC116302676</v>
      </c>
      <c r="E55" t="str">
        <f>_xlfn.LET(_xlpm.x,VLOOKUP(C55,Table1[[#All],[Entry]:[Length]],4,FALSE),IF(C55="NA","NA",IF(_xlpm.x="","NA",_xlpm.x)))</f>
        <v>Neuronal acetylcholine receptor subunit alpha-7-like</v>
      </c>
      <c r="F55" s="3">
        <v>2212.9359903127202</v>
      </c>
      <c r="G55" s="3">
        <v>-0.88802897483306897</v>
      </c>
      <c r="H55" s="3">
        <v>0.34289625566229298</v>
      </c>
      <c r="I55" s="2">
        <v>4.44362115719004E-5</v>
      </c>
      <c r="J55" s="2">
        <v>2.2483900162574701E-2</v>
      </c>
    </row>
    <row r="56" spans="1:10" x14ac:dyDescent="0.25">
      <c r="A56" t="s">
        <v>7</v>
      </c>
      <c r="B56" t="s">
        <v>113</v>
      </c>
      <c r="C56" t="s">
        <v>114</v>
      </c>
      <c r="D56" t="str">
        <f>_xlfn.LET(_xlpm.x,VLOOKUP(C56,Table1[[#All],[Entry]:[Length]],5,FALSE),IF(C56="NA","NA",IF(_xlpm.x="","NA",_xlpm.x)))</f>
        <v>LOC116304887</v>
      </c>
      <c r="E56" t="str">
        <f>_xlfn.LET(_xlpm.x,VLOOKUP(C56,Table1[[#All],[Entry]:[Length]],4,FALSE),IF(C56="NA","NA",IF(_xlpm.x="","NA",_xlpm.x)))</f>
        <v>2-oxoglutarate and iron-dependent oxygenase JMJD4-like</v>
      </c>
      <c r="F56" s="3">
        <v>57.890475831761798</v>
      </c>
      <c r="G56" s="3">
        <v>-1.10341137430643</v>
      </c>
      <c r="H56" s="3">
        <v>0.62010963201484404</v>
      </c>
      <c r="I56" s="2">
        <v>4.7662084861944503E-5</v>
      </c>
      <c r="J56" s="2">
        <v>2.2846862187419499E-2</v>
      </c>
    </row>
    <row r="57" spans="1:10" x14ac:dyDescent="0.25">
      <c r="A57" t="s">
        <v>7</v>
      </c>
      <c r="B57" t="s">
        <v>115</v>
      </c>
      <c r="C57" t="s">
        <v>116</v>
      </c>
      <c r="D57" t="str">
        <f>_xlfn.LET(_xlpm.x,VLOOKUP(C57,Table1[[#All],[Entry]:[Length]],5,FALSE),IF(C57="NA","NA",IF(_xlpm.x="","NA",_xlpm.x)))</f>
        <v>LOC116296515</v>
      </c>
      <c r="E57" t="str">
        <f>_xlfn.LET(_xlpm.x,VLOOKUP(C57,Table1[[#All],[Entry]:[Length]],4,FALSE),IF(C57="NA","NA",IF(_xlpm.x="","NA",_xlpm.x)))</f>
        <v>Formin-like protein 5</v>
      </c>
      <c r="F57" s="3">
        <v>1390.26243458672</v>
      </c>
      <c r="G57" s="3">
        <v>1.02689877309646</v>
      </c>
      <c r="H57" s="3">
        <v>0.46288497838200199</v>
      </c>
      <c r="I57" s="2">
        <v>4.7263079897219101E-5</v>
      </c>
      <c r="J57" s="2">
        <v>2.2846862187419499E-2</v>
      </c>
    </row>
    <row r="58" spans="1:10" x14ac:dyDescent="0.25">
      <c r="A58" t="s">
        <v>7</v>
      </c>
      <c r="B58" t="s">
        <v>117</v>
      </c>
      <c r="C58" t="s">
        <v>118</v>
      </c>
      <c r="D58" t="str">
        <f>_xlfn.LET(_xlpm.x,VLOOKUP(C58,Table1[[#All],[Entry]:[Length]],5,FALSE),IF(C58="NA","NA",IF(_xlpm.x="","NA",_xlpm.x)))</f>
        <v>LOC116295255</v>
      </c>
      <c r="E58" t="str">
        <f>_xlfn.LET(_xlpm.x,VLOOKUP(C58,Table1[[#All],[Entry]:[Length]],4,FALSE),IF(C58="NA","NA",IF(_xlpm.x="","NA",_xlpm.x)))</f>
        <v>Probable G-protein coupled receptor No18</v>
      </c>
      <c r="F58" s="3">
        <v>195.04440512588101</v>
      </c>
      <c r="G58" s="3">
        <v>-1.0130788086773601</v>
      </c>
      <c r="H58" s="3">
        <v>0.44784118229703002</v>
      </c>
      <c r="I58" s="2">
        <v>4.7229621062853501E-5</v>
      </c>
      <c r="J58" s="2">
        <v>2.2846862187419499E-2</v>
      </c>
    </row>
    <row r="59" spans="1:10" x14ac:dyDescent="0.25">
      <c r="A59" t="s">
        <v>7</v>
      </c>
      <c r="B59" t="s">
        <v>119</v>
      </c>
      <c r="C59" t="s">
        <v>120</v>
      </c>
      <c r="D59" t="str">
        <f>_xlfn.LET(_xlpm.x,VLOOKUP(C59,Table1[[#All],[Entry]:[Length]],5,FALSE),IF(C59="NA","NA",IF(_xlpm.x="","NA",_xlpm.x)))</f>
        <v>LOC116305026</v>
      </c>
      <c r="E59" t="str">
        <f>_xlfn.LET(_xlpm.x,VLOOKUP(C59,Table1[[#All],[Entry]:[Length]],4,FALSE),IF(C59="NA","NA",IF(_xlpm.x="","NA",_xlpm.x)))</f>
        <v>Neuropeptide FF receptor 2-like</v>
      </c>
      <c r="F59" s="3">
        <v>278.85186798245297</v>
      </c>
      <c r="G59" s="3">
        <v>0.95139077698188301</v>
      </c>
      <c r="H59" s="3">
        <v>0.40243644585911598</v>
      </c>
      <c r="I59" s="2">
        <v>5.0379268728843099E-5</v>
      </c>
      <c r="J59" s="2">
        <v>2.3732978611692698E-2</v>
      </c>
    </row>
    <row r="60" spans="1:10" x14ac:dyDescent="0.25">
      <c r="A60" t="s">
        <v>7</v>
      </c>
      <c r="B60" t="s">
        <v>121</v>
      </c>
      <c r="C60" t="s">
        <v>122</v>
      </c>
      <c r="D60" t="str">
        <f>_xlfn.LET(_xlpm.x,VLOOKUP(C60,Table1[[#All],[Entry]:[Length]],5,FALSE),IF(C60="NA","NA",IF(_xlpm.x="","NA",_xlpm.x)))</f>
        <v>LOC116286404</v>
      </c>
      <c r="E60" t="str">
        <f>_xlfn.LET(_xlpm.x,VLOOKUP(C60,Table1[[#All],[Entry]:[Length]],4,FALSE),IF(C60="NA","NA",IF(_xlpm.x="","NA",_xlpm.x)))</f>
        <v>D-cysteine desulfhydrase 1, mitochondrial</v>
      </c>
      <c r="F60" s="3">
        <v>22856.684939262501</v>
      </c>
      <c r="G60" s="3">
        <v>0.97122191038082994</v>
      </c>
      <c r="H60" s="3">
        <v>0.424960256763947</v>
      </c>
      <c r="I60" s="2">
        <v>5.2151028208530302E-5</v>
      </c>
      <c r="J60" s="2">
        <v>2.4151229554943601E-2</v>
      </c>
    </row>
    <row r="61" spans="1:10" x14ac:dyDescent="0.25">
      <c r="A61" t="s">
        <v>7</v>
      </c>
      <c r="B61" t="s">
        <v>123</v>
      </c>
      <c r="C61" t="s">
        <v>26</v>
      </c>
      <c r="D61" t="str">
        <f>_xlfn.LET(_xlpm.x,VLOOKUP(C61,Table1[[#All],[Entry]:[Length]],5,FALSE),IF(C61="NA","NA",IF(_xlpm.x="","NA",_xlpm.x)))</f>
        <v>LOC116298580</v>
      </c>
      <c r="E61" t="str">
        <f>_xlfn.LET(_xlpm.x,VLOOKUP(C61,Table1[[#All],[Entry]:[Length]],4,FALSE),IF(C61="NA","NA",IF(_xlpm.x="","NA",_xlpm.x)))</f>
        <v>Mitochondrial glutamate carrier 2 (Glutamate/H(+) symporter 2) (Solute carrier family 25 member 18)</v>
      </c>
      <c r="F61" s="3">
        <v>676.51862386126299</v>
      </c>
      <c r="G61" s="3">
        <v>0.97997864817010905</v>
      </c>
      <c r="H61" s="3">
        <v>0.443088086493378</v>
      </c>
      <c r="I61" s="2">
        <v>5.5044345405282803E-5</v>
      </c>
      <c r="J61" s="2">
        <v>2.5066277491809001E-2</v>
      </c>
    </row>
    <row r="62" spans="1:10" x14ac:dyDescent="0.25">
      <c r="A62" t="s">
        <v>7</v>
      </c>
      <c r="B62" t="s">
        <v>124</v>
      </c>
      <c r="C62" t="s">
        <v>49</v>
      </c>
      <c r="D62" t="str">
        <f>_xlfn.LET(_xlpm.x,VLOOKUP(C62,Table1[[#All],[Entry]:[Length]],5,FALSE),IF(C62="NA","NA",IF(_xlpm.x="","NA",_xlpm.x)))</f>
        <v>LOC116294921</v>
      </c>
      <c r="E62" t="str">
        <f>_xlfn.LET(_xlpm.x,VLOOKUP(C62,Table1[[#All],[Entry]:[Length]],4,FALSE),IF(C62="NA","NA",IF(_xlpm.x="","NA",_xlpm.x)))</f>
        <v>Uncharacterized protein LOC116294921</v>
      </c>
      <c r="F62" s="3">
        <v>1626.91867617505</v>
      </c>
      <c r="G62" s="3">
        <v>-0.80363552586361298</v>
      </c>
      <c r="H62" s="3">
        <v>0.32265459371162097</v>
      </c>
      <c r="I62" s="2">
        <v>5.92961280436937E-5</v>
      </c>
      <c r="J62" s="2">
        <v>2.6131421073191E-2</v>
      </c>
    </row>
    <row r="63" spans="1:10" x14ac:dyDescent="0.25">
      <c r="A63" t="s">
        <v>7</v>
      </c>
      <c r="B63" t="s">
        <v>125</v>
      </c>
      <c r="C63" t="s">
        <v>126</v>
      </c>
      <c r="D63" t="str">
        <f>_xlfn.LET(_xlpm.x,VLOOKUP(C63,Table1[[#All],[Entry]:[Length]],5,FALSE),IF(C63="NA","NA",IF(_xlpm.x="","NA",_xlpm.x)))</f>
        <v>LOC116291582</v>
      </c>
      <c r="E63" t="str">
        <f>_xlfn.LET(_xlpm.x,VLOOKUP(C63,Table1[[#All],[Entry]:[Length]],4,FALSE),IF(C63="NA","NA",IF(_xlpm.x="","NA",_xlpm.x)))</f>
        <v>Uncharacterized protein LOC116291582 isoform X1</v>
      </c>
      <c r="F63" s="3">
        <v>1118.2008033288</v>
      </c>
      <c r="G63" s="3">
        <v>-0.71042228573180799</v>
      </c>
      <c r="H63" s="3">
        <v>1.0305868048281801</v>
      </c>
      <c r="I63" s="2">
        <v>5.90737765735763E-5</v>
      </c>
      <c r="J63" s="2">
        <v>2.6131421073191E-2</v>
      </c>
    </row>
    <row r="64" spans="1:10" x14ac:dyDescent="0.25">
      <c r="A64" t="s">
        <v>7</v>
      </c>
      <c r="B64" t="s">
        <v>127</v>
      </c>
      <c r="C64" t="s">
        <v>93</v>
      </c>
      <c r="D64" t="str">
        <f>_xlfn.LET(_xlpm.x,VLOOKUP(C64,Table1[[#All],[Entry]:[Length]],5,FALSE),IF(C64="NA","NA",IF(_xlpm.x="","NA",_xlpm.x)))</f>
        <v>LOC116287832</v>
      </c>
      <c r="E64" t="str">
        <f>_xlfn.LET(_xlpm.x,VLOOKUP(C64,Table1[[#All],[Entry]:[Length]],4,FALSE),IF(C64="NA","NA",IF(_xlpm.x="","NA",_xlpm.x)))</f>
        <v>Uncharacterized protein LOC116287832</v>
      </c>
      <c r="F64" s="3">
        <v>638.31194920982</v>
      </c>
      <c r="G64" s="3">
        <v>-0.80693068720638095</v>
      </c>
      <c r="H64" s="3">
        <v>0.32632203019818201</v>
      </c>
      <c r="I64" s="2">
        <v>6.0356908290971003E-5</v>
      </c>
      <c r="J64" s="2">
        <v>2.6176695321177799E-2</v>
      </c>
    </row>
    <row r="65" spans="1:10" x14ac:dyDescent="0.25">
      <c r="A65" t="s">
        <v>7</v>
      </c>
      <c r="B65" t="s">
        <v>128</v>
      </c>
      <c r="C65" t="s">
        <v>83</v>
      </c>
      <c r="D65" t="str">
        <f>_xlfn.LET(_xlpm.x,VLOOKUP(C65,Table1[[#All],[Entry]:[Length]],5,FALSE),IF(C65="NA","NA",IF(_xlpm.x="","NA",_xlpm.x)))</f>
        <v>NA</v>
      </c>
      <c r="E65" t="str">
        <f>_xlfn.LET(_xlpm.x,VLOOKUP(C65,Table1[[#All],[Entry]:[Length]],4,FALSE),IF(C65="NA","NA",IF(_xlpm.x="","NA",_xlpm.x)))</f>
        <v>NA</v>
      </c>
      <c r="F65" s="3">
        <v>2416.81179544818</v>
      </c>
      <c r="G65" s="3">
        <v>-1.0019318568978299</v>
      </c>
      <c r="H65" s="3">
        <v>0.49700711196624098</v>
      </c>
      <c r="I65" s="2">
        <v>6.2044400265506901E-5</v>
      </c>
      <c r="J65" s="2">
        <v>2.6488111694600702E-2</v>
      </c>
    </row>
    <row r="66" spans="1:10" x14ac:dyDescent="0.25">
      <c r="A66" t="s">
        <v>7</v>
      </c>
      <c r="B66" t="s">
        <v>129</v>
      </c>
      <c r="C66" t="s">
        <v>83</v>
      </c>
      <c r="D66" t="str">
        <f>_xlfn.LET(_xlpm.x,VLOOKUP(C66,Table1[[#All],[Entry]:[Length]],5,FALSE),IF(C66="NA","NA",IF(_xlpm.x="","NA",_xlpm.x)))</f>
        <v>NA</v>
      </c>
      <c r="E66" t="str">
        <f>_xlfn.LET(_xlpm.x,VLOOKUP(C66,Table1[[#All],[Entry]:[Length]],4,FALSE),IF(C66="NA","NA",IF(_xlpm.x="","NA",_xlpm.x)))</f>
        <v>NA</v>
      </c>
      <c r="F66" s="3">
        <v>6879.5737943620998</v>
      </c>
      <c r="G66" s="3">
        <v>1.0018619167213501</v>
      </c>
      <c r="H66" s="3">
        <v>0.50225688666880297</v>
      </c>
      <c r="I66" s="2">
        <v>6.3201037756935796E-5</v>
      </c>
      <c r="J66" s="2">
        <v>2.65667993020424E-2</v>
      </c>
    </row>
    <row r="67" spans="1:10" x14ac:dyDescent="0.25">
      <c r="A67" t="s">
        <v>7</v>
      </c>
      <c r="B67" t="s">
        <v>130</v>
      </c>
      <c r="C67" t="s">
        <v>131</v>
      </c>
      <c r="D67" t="str">
        <f>_xlfn.LET(_xlpm.x,VLOOKUP(C67,Table1[[#All],[Entry]:[Length]],5,FALSE),IF(C67="NA","NA",IF(_xlpm.x="","NA",_xlpm.x)))</f>
        <v>LOC116301643</v>
      </c>
      <c r="E67" t="str">
        <f>_xlfn.LET(_xlpm.x,VLOOKUP(C67,Table1[[#All],[Entry]:[Length]],4,FALSE),IF(C67="NA","NA",IF(_xlpm.x="","NA",_xlpm.x)))</f>
        <v>Alpha,alpha-trehalose-phosphate synthase [UDP-forming]-like</v>
      </c>
      <c r="F67" s="3">
        <v>1503.38176559372</v>
      </c>
      <c r="G67" s="3">
        <v>0.65952099346997395</v>
      </c>
      <c r="H67" s="3">
        <v>0.25995070295623601</v>
      </c>
      <c r="I67" s="2">
        <v>6.6386202741462207E-5</v>
      </c>
      <c r="J67" s="2">
        <v>2.74828820834087E-2</v>
      </c>
    </row>
    <row r="68" spans="1:10" x14ac:dyDescent="0.25">
      <c r="A68" t="s">
        <v>7</v>
      </c>
      <c r="B68" t="s">
        <v>132</v>
      </c>
      <c r="C68" t="s">
        <v>133</v>
      </c>
      <c r="D68" t="str">
        <f>_xlfn.LET(_xlpm.x,VLOOKUP(C68,Table1[[#All],[Entry]:[Length]],5,FALSE),IF(C68="NA","NA",IF(_xlpm.x="","NA",_xlpm.x)))</f>
        <v>LOC116299674</v>
      </c>
      <c r="E68" t="str">
        <f>_xlfn.LET(_xlpm.x,VLOOKUP(C68,Table1[[#All],[Entry]:[Length]],4,FALSE),IF(C68="NA","NA",IF(_xlpm.x="","NA",_xlpm.x)))</f>
        <v>Complement C1q subcomponent subunit B-like isoform X1</v>
      </c>
      <c r="F68" s="3">
        <v>923.10842424147802</v>
      </c>
      <c r="G68" s="3">
        <v>0.90404750717587801</v>
      </c>
      <c r="H68" s="3">
        <v>0.408171012333778</v>
      </c>
      <c r="I68" s="2">
        <v>6.7597873958155299E-5</v>
      </c>
      <c r="J68" s="2">
        <v>2.7566816569532498E-2</v>
      </c>
    </row>
    <row r="69" spans="1:10" x14ac:dyDescent="0.25">
      <c r="A69" t="s">
        <v>7</v>
      </c>
      <c r="B69" t="s">
        <v>134</v>
      </c>
      <c r="C69" t="s">
        <v>135</v>
      </c>
      <c r="D69" t="str">
        <f>_xlfn.LET(_xlpm.x,VLOOKUP(C69,Table1[[#All],[Entry]:[Length]],5,FALSE),IF(C69="NA","NA",IF(_xlpm.x="","NA",_xlpm.x)))</f>
        <v>NA</v>
      </c>
      <c r="E69" t="str">
        <f>_xlfn.LET(_xlpm.x,VLOOKUP(C69,Table1[[#All],[Entry]:[Length]],4,FALSE),IF(C69="NA","NA",IF(_xlpm.x="","NA",_xlpm.x)))</f>
        <v>Uncharacterized protein</v>
      </c>
      <c r="F69" s="3">
        <v>66.846467529820004</v>
      </c>
      <c r="G69" s="3">
        <v>1.01675393183643</v>
      </c>
      <c r="H69" s="3">
        <v>0.63669224654010703</v>
      </c>
      <c r="I69" s="2">
        <v>7.2887917997344301E-5</v>
      </c>
      <c r="J69" s="2">
        <v>2.8590407457365598E-2</v>
      </c>
    </row>
    <row r="70" spans="1:10" x14ac:dyDescent="0.25">
      <c r="A70" t="s">
        <v>7</v>
      </c>
      <c r="B70" t="s">
        <v>136</v>
      </c>
      <c r="C70" t="s">
        <v>83</v>
      </c>
      <c r="D70" t="str">
        <f>_xlfn.LET(_xlpm.x,VLOOKUP(C70,Table1[[#All],[Entry]:[Length]],5,FALSE),IF(C70="NA","NA",IF(_xlpm.x="","NA",_xlpm.x)))</f>
        <v>NA</v>
      </c>
      <c r="E70" t="str">
        <f>_xlfn.LET(_xlpm.x,VLOOKUP(C70,Table1[[#All],[Entry]:[Length]],4,FALSE),IF(C70="NA","NA",IF(_xlpm.x="","NA",_xlpm.x)))</f>
        <v>NA</v>
      </c>
      <c r="F70" s="3">
        <v>124.450022918024</v>
      </c>
      <c r="G70" s="3">
        <v>0.90505867850183697</v>
      </c>
      <c r="H70" s="3">
        <v>0.42159136954160997</v>
      </c>
      <c r="I70" s="2">
        <v>7.2828514596319198E-5</v>
      </c>
      <c r="J70" s="2">
        <v>2.8590407457365598E-2</v>
      </c>
    </row>
    <row r="71" spans="1:10" x14ac:dyDescent="0.25">
      <c r="A71" t="s">
        <v>7</v>
      </c>
      <c r="B71" t="s">
        <v>137</v>
      </c>
      <c r="C71" t="s">
        <v>138</v>
      </c>
      <c r="D71" t="str">
        <f>_xlfn.LET(_xlpm.x,VLOOKUP(C71,Table1[[#All],[Entry]:[Length]],5,FALSE),IF(C71="NA","NA",IF(_xlpm.x="","NA",_xlpm.x)))</f>
        <v>LOC116298677</v>
      </c>
      <c r="E71" t="str">
        <f>_xlfn.LET(_xlpm.x,VLOOKUP(C71,Table1[[#All],[Entry]:[Length]],4,FALSE),IF(C71="NA","NA",IF(_xlpm.x="","NA",_xlpm.x)))</f>
        <v>Solute carrier family 23 member 2-like</v>
      </c>
      <c r="F71" s="3">
        <v>567.16840624117106</v>
      </c>
      <c r="G71" s="3">
        <v>0.89038762013128703</v>
      </c>
      <c r="H71" s="3">
        <v>0.40941244710728297</v>
      </c>
      <c r="I71" s="2">
        <v>7.3247027120579395E-5</v>
      </c>
      <c r="J71" s="2">
        <v>2.8590407457365598E-2</v>
      </c>
    </row>
    <row r="72" spans="1:10" x14ac:dyDescent="0.25">
      <c r="A72" t="s">
        <v>7</v>
      </c>
      <c r="B72" t="s">
        <v>139</v>
      </c>
      <c r="C72" t="s">
        <v>140</v>
      </c>
      <c r="D72" t="str">
        <f>_xlfn.LET(_xlpm.x,VLOOKUP(C72,Table1[[#All],[Entry]:[Length]],5,FALSE),IF(C72="NA","NA",IF(_xlpm.x="","NA",_xlpm.x)))</f>
        <v>LOC116296841</v>
      </c>
      <c r="E72" t="str">
        <f>_xlfn.LET(_xlpm.x,VLOOKUP(C72,Table1[[#All],[Entry]:[Length]],4,FALSE),IF(C72="NA","NA",IF(_xlpm.x="","NA",_xlpm.x)))</f>
        <v>Sialin (H(+)/nitrate cotransporter) (H(+)/sialic acid cotransporter) (Vesicular excitatory amino acid transporter)</v>
      </c>
      <c r="F72" s="3">
        <v>50.096859866901099</v>
      </c>
      <c r="G72" s="3">
        <v>1.0033884587501201</v>
      </c>
      <c r="H72" s="3">
        <v>0.62013167521927703</v>
      </c>
      <c r="I72" s="2">
        <v>7.7457549786649597E-5</v>
      </c>
      <c r="J72" s="2">
        <v>2.9394064344730901E-2</v>
      </c>
    </row>
    <row r="73" spans="1:10" x14ac:dyDescent="0.25">
      <c r="A73" t="s">
        <v>7</v>
      </c>
      <c r="B73" t="s">
        <v>141</v>
      </c>
      <c r="C73" t="s">
        <v>142</v>
      </c>
      <c r="D73" t="str">
        <f>_xlfn.LET(_xlpm.x,VLOOKUP(C73,Table1[[#All],[Entry]:[Length]],5,FALSE),IF(C73="NA","NA",IF(_xlpm.x="","NA",_xlpm.x)))</f>
        <v>LOC116302123</v>
      </c>
      <c r="E73" t="str">
        <f>_xlfn.LET(_xlpm.x,VLOOKUP(C73,Table1[[#All],[Entry]:[Length]],4,FALSE),IF(C73="NA","NA",IF(_xlpm.x="","NA",_xlpm.x)))</f>
        <v>LIX1-like protein</v>
      </c>
      <c r="F73" s="3">
        <v>283.72472709772597</v>
      </c>
      <c r="G73" s="3">
        <v>-0.99137352431356096</v>
      </c>
      <c r="H73" s="3">
        <v>0.55929803597501204</v>
      </c>
      <c r="I73" s="2">
        <v>7.7077607036947206E-5</v>
      </c>
      <c r="J73" s="2">
        <v>2.9394064344730901E-2</v>
      </c>
    </row>
    <row r="74" spans="1:10" x14ac:dyDescent="0.25">
      <c r="A74" t="s">
        <v>7</v>
      </c>
      <c r="B74" t="s">
        <v>143</v>
      </c>
      <c r="C74" t="s">
        <v>144</v>
      </c>
      <c r="D74" t="str">
        <f>_xlfn.LET(_xlpm.x,VLOOKUP(C74,Table1[[#All],[Entry]:[Length]],5,FALSE),IF(C74="NA","NA",IF(_xlpm.x="","NA",_xlpm.x)))</f>
        <v>LOC116287034</v>
      </c>
      <c r="E74" t="str">
        <f>_xlfn.LET(_xlpm.x,VLOOKUP(C74,Table1[[#All],[Entry]:[Length]],4,FALSE),IF(C74="NA","NA",IF(_xlpm.x="","NA",_xlpm.x)))</f>
        <v>Inhibin beta B chain-like</v>
      </c>
      <c r="F74" s="3">
        <v>253.97441316418201</v>
      </c>
      <c r="G74" s="3">
        <v>-0.87148135968400597</v>
      </c>
      <c r="H74" s="3">
        <v>0.40565077125678201</v>
      </c>
      <c r="I74" s="2">
        <v>7.9096782360228905E-5</v>
      </c>
      <c r="J74" s="2">
        <v>2.96049504716237E-2</v>
      </c>
    </row>
    <row r="75" spans="1:10" x14ac:dyDescent="0.25">
      <c r="A75" t="s">
        <v>7</v>
      </c>
      <c r="B75" t="s">
        <v>145</v>
      </c>
      <c r="C75" t="s">
        <v>146</v>
      </c>
      <c r="D75" t="str">
        <f>_xlfn.LET(_xlpm.x,VLOOKUP(C75,Table1[[#All],[Entry]:[Length]],5,FALSE),IF(C75="NA","NA",IF(_xlpm.x="","NA",_xlpm.x)))</f>
        <v>LOC116299382</v>
      </c>
      <c r="E75" t="str">
        <f>_xlfn.LET(_xlpm.x,VLOOKUP(C75,Table1[[#All],[Entry]:[Length]],4,FALSE),IF(C75="NA","NA",IF(_xlpm.x="","NA",_xlpm.x)))</f>
        <v>Uncharacterized protein LOC116299382 isoform X2</v>
      </c>
      <c r="F75" s="3">
        <v>113.983560090894</v>
      </c>
      <c r="G75" s="3">
        <v>0.98982290469645295</v>
      </c>
      <c r="H75" s="3">
        <v>0.63046642517561802</v>
      </c>
      <c r="I75" s="2">
        <v>8.2750025852558096E-5</v>
      </c>
      <c r="J75" s="2">
        <v>3.01463860849259E-2</v>
      </c>
    </row>
    <row r="76" spans="1:10" x14ac:dyDescent="0.25">
      <c r="A76" t="s">
        <v>7</v>
      </c>
      <c r="B76" t="s">
        <v>147</v>
      </c>
      <c r="C76" t="s">
        <v>148</v>
      </c>
      <c r="D76" t="str">
        <f>_xlfn.LET(_xlpm.x,VLOOKUP(C76,Table1[[#All],[Entry]:[Length]],5,FALSE),IF(C76="NA","NA",IF(_xlpm.x="","NA",_xlpm.x)))</f>
        <v>LOC116296533</v>
      </c>
      <c r="E76" t="str">
        <f>_xlfn.LET(_xlpm.x,VLOOKUP(C76,Table1[[#All],[Entry]:[Length]],4,FALSE),IF(C76="NA","NA",IF(_xlpm.x="","NA",_xlpm.x)))</f>
        <v>Ephrin type-B receptor 6-like</v>
      </c>
      <c r="F76" s="3">
        <v>47.473546109576603</v>
      </c>
      <c r="G76" s="3">
        <v>0.94390011734059698</v>
      </c>
      <c r="H76" s="3">
        <v>0.49321631997100002</v>
      </c>
      <c r="I76" s="2">
        <v>8.2362351338970404E-5</v>
      </c>
      <c r="J76" s="2">
        <v>3.01463860849259E-2</v>
      </c>
    </row>
    <row r="77" spans="1:10" x14ac:dyDescent="0.25">
      <c r="A77" t="s">
        <v>7</v>
      </c>
      <c r="B77" t="s">
        <v>149</v>
      </c>
      <c r="C77" t="s">
        <v>150</v>
      </c>
      <c r="D77" t="str">
        <f>_xlfn.LET(_xlpm.x,VLOOKUP(C77,Table1[[#All],[Entry]:[Length]],5,FALSE),IF(C77="NA","NA",IF(_xlpm.x="","NA",_xlpm.x)))</f>
        <v>LOC116299051</v>
      </c>
      <c r="E77" t="str">
        <f>_xlfn.LET(_xlpm.x,VLOOKUP(C77,Table1[[#All],[Entry]:[Length]],4,FALSE),IF(C77="NA","NA",IF(_xlpm.x="","NA",_xlpm.x)))</f>
        <v>Deleted in malignant brain tumors 1 protein-like</v>
      </c>
      <c r="F77" s="3">
        <v>20366.615835311601</v>
      </c>
      <c r="G77" s="3">
        <v>0.87730580065520103</v>
      </c>
      <c r="H77" s="3">
        <v>0.42316916871976701</v>
      </c>
      <c r="I77" s="2">
        <v>8.4951960615601503E-5</v>
      </c>
      <c r="J77" s="2">
        <v>3.0541347630264198E-2</v>
      </c>
    </row>
    <row r="78" spans="1:10" x14ac:dyDescent="0.25">
      <c r="A78" t="s">
        <v>7</v>
      </c>
      <c r="B78" t="s">
        <v>151</v>
      </c>
      <c r="C78" t="s">
        <v>152</v>
      </c>
      <c r="D78" t="str">
        <f>_xlfn.LET(_xlpm.x,VLOOKUP(C78,Table1[[#All],[Entry]:[Length]],5,FALSE),IF(C78="NA","NA",IF(_xlpm.x="","NA",_xlpm.x)))</f>
        <v>LOC116289544</v>
      </c>
      <c r="E78" t="str">
        <f>_xlfn.LET(_xlpm.x,VLOOKUP(C78,Table1[[#All],[Entry]:[Length]],4,FALSE),IF(C78="NA","NA",IF(_xlpm.x="","NA",_xlpm.x)))</f>
        <v>Vitelline membrane outer layer protein 1-like</v>
      </c>
      <c r="F78" s="3">
        <v>151.839961450559</v>
      </c>
      <c r="G78" s="3">
        <v>0.97621853418764404</v>
      </c>
      <c r="H78" s="3">
        <v>0.62210188091200902</v>
      </c>
      <c r="I78" s="2">
        <v>8.8139369388169904E-5</v>
      </c>
      <c r="J78" s="2">
        <v>3.1275740127181401E-2</v>
      </c>
    </row>
    <row r="79" spans="1:10" x14ac:dyDescent="0.25">
      <c r="A79" t="s">
        <v>7</v>
      </c>
      <c r="B79" t="s">
        <v>153</v>
      </c>
      <c r="C79" t="s">
        <v>154</v>
      </c>
      <c r="D79" t="str">
        <f>_xlfn.LET(_xlpm.x,VLOOKUP(C79,Table1[[#All],[Entry]:[Length]],5,FALSE),IF(C79="NA","NA",IF(_xlpm.x="","NA",_xlpm.x)))</f>
        <v>LOC116304503</v>
      </c>
      <c r="E79" t="str">
        <f>_xlfn.LET(_xlpm.x,VLOOKUP(C79,Table1[[#All],[Entry]:[Length]],4,FALSE),IF(C79="NA","NA",IF(_xlpm.x="","NA",_xlpm.x)))</f>
        <v>Uncharacterized protein LOC116304503</v>
      </c>
      <c r="F79" s="3">
        <v>39.476857666302699</v>
      </c>
      <c r="G79" s="3">
        <v>0.95070676255018105</v>
      </c>
      <c r="H79" s="3">
        <v>0.67344141274205704</v>
      </c>
      <c r="I79" s="2">
        <v>9.6724799527450896E-5</v>
      </c>
      <c r="J79" s="2">
        <v>3.1841104789018498E-2</v>
      </c>
    </row>
    <row r="80" spans="1:10" x14ac:dyDescent="0.25">
      <c r="A80" t="s">
        <v>7</v>
      </c>
      <c r="B80" t="s">
        <v>155</v>
      </c>
      <c r="C80" t="s">
        <v>156</v>
      </c>
      <c r="D80" t="str">
        <f>_xlfn.LET(_xlpm.x,VLOOKUP(C80,Table1[[#All],[Entry]:[Length]],5,FALSE),IF(C80="NA","NA",IF(_xlpm.x="","NA",_xlpm.x)))</f>
        <v>LOC116308239</v>
      </c>
      <c r="E80" t="str">
        <f>_xlfn.LET(_xlpm.x,VLOOKUP(C80,Table1[[#All],[Entry]:[Length]],4,FALSE),IF(C80="NA","NA",IF(_xlpm.x="","NA",_xlpm.x)))</f>
        <v>Uncharacterized protein LOC116308239</v>
      </c>
      <c r="F80" s="3">
        <v>410.32955472177099</v>
      </c>
      <c r="G80" s="3">
        <v>0.94871399833987402</v>
      </c>
      <c r="H80" s="3">
        <v>0.56954940031121704</v>
      </c>
      <c r="I80" s="2">
        <v>9.6485812175418697E-5</v>
      </c>
      <c r="J80" s="2">
        <v>3.1841104789018498E-2</v>
      </c>
    </row>
    <row r="81" spans="1:10" x14ac:dyDescent="0.25">
      <c r="A81" t="s">
        <v>7</v>
      </c>
      <c r="B81" t="s">
        <v>157</v>
      </c>
      <c r="C81" t="s">
        <v>158</v>
      </c>
      <c r="D81" t="str">
        <f>_xlfn.LET(_xlpm.x,VLOOKUP(C81,Table1[[#All],[Entry]:[Length]],5,FALSE),IF(C81="NA","NA",IF(_xlpm.x="","NA",_xlpm.x)))</f>
        <v>LOC116306757</v>
      </c>
      <c r="E81" t="str">
        <f>_xlfn.LET(_xlpm.x,VLOOKUP(C81,Table1[[#All],[Entry]:[Length]],4,FALSE),IF(C81="NA","NA",IF(_xlpm.x="","NA",_xlpm.x)))</f>
        <v>Hexosyltransferase (EC 2.4.1.-)</v>
      </c>
      <c r="F81" s="3">
        <v>352.49919187383603</v>
      </c>
      <c r="G81" s="3">
        <v>0.85478754345276897</v>
      </c>
      <c r="H81" s="3">
        <v>0.42204257574869902</v>
      </c>
      <c r="I81" s="2">
        <v>9.4867717211423496E-5</v>
      </c>
      <c r="J81" s="2">
        <v>3.1841104789018498E-2</v>
      </c>
    </row>
    <row r="82" spans="1:10" x14ac:dyDescent="0.25">
      <c r="A82" t="s">
        <v>7</v>
      </c>
      <c r="B82" t="s">
        <v>159</v>
      </c>
      <c r="C82" t="s">
        <v>160</v>
      </c>
      <c r="D82" t="str">
        <f>_xlfn.LET(_xlpm.x,VLOOKUP(C82,Table1[[#All],[Entry]:[Length]],5,FALSE),IF(C82="NA","NA",IF(_xlpm.x="","NA",_xlpm.x)))</f>
        <v>LOC116295515</v>
      </c>
      <c r="E82" t="str">
        <f>_xlfn.LET(_xlpm.x,VLOOKUP(C82,Table1[[#All],[Entry]:[Length]],4,FALSE),IF(C82="NA","NA",IF(_xlpm.x="","NA",_xlpm.x)))</f>
        <v>Ankyrin repeat domain-containing protein 10-like</v>
      </c>
      <c r="F82" s="3">
        <v>2869.5918623160901</v>
      </c>
      <c r="G82" s="3">
        <v>0.85263495091734598</v>
      </c>
      <c r="H82" s="3">
        <v>0.41536034127827398</v>
      </c>
      <c r="I82" s="2">
        <v>9.2434350388864099E-5</v>
      </c>
      <c r="J82" s="2">
        <v>3.1841104789018498E-2</v>
      </c>
    </row>
    <row r="83" spans="1:10" x14ac:dyDescent="0.25">
      <c r="A83" t="s">
        <v>7</v>
      </c>
      <c r="B83" t="s">
        <v>161</v>
      </c>
      <c r="C83" t="s">
        <v>138</v>
      </c>
      <c r="D83" t="str">
        <f>_xlfn.LET(_xlpm.x,VLOOKUP(C83,Table1[[#All],[Entry]:[Length]],5,FALSE),IF(C83="NA","NA",IF(_xlpm.x="","NA",_xlpm.x)))</f>
        <v>LOC116298677</v>
      </c>
      <c r="E83" t="str">
        <f>_xlfn.LET(_xlpm.x,VLOOKUP(C83,Table1[[#All],[Entry]:[Length]],4,FALSE),IF(C83="NA","NA",IF(_xlpm.x="","NA",_xlpm.x)))</f>
        <v>Solute carrier family 23 member 2-like</v>
      </c>
      <c r="F83" s="3">
        <v>440.50625801201898</v>
      </c>
      <c r="G83" s="3">
        <v>0.85103698051088905</v>
      </c>
      <c r="H83" s="3">
        <v>0.418718725761691</v>
      </c>
      <c r="I83" s="2">
        <v>9.4973319122299997E-5</v>
      </c>
      <c r="J83" s="2">
        <v>3.1841104789018498E-2</v>
      </c>
    </row>
    <row r="84" spans="1:10" x14ac:dyDescent="0.25">
      <c r="A84" t="s">
        <v>7</v>
      </c>
      <c r="B84" t="s">
        <v>162</v>
      </c>
      <c r="C84" t="s">
        <v>163</v>
      </c>
      <c r="D84" t="str">
        <f>_xlfn.LET(_xlpm.x,VLOOKUP(C84,Table1[[#All],[Entry]:[Length]],5,FALSE),IF(C84="NA","NA",IF(_xlpm.x="","NA",_xlpm.x)))</f>
        <v>LOC116291536</v>
      </c>
      <c r="E84" t="str">
        <f>_xlfn.LET(_xlpm.x,VLOOKUP(C84,Table1[[#All],[Entry]:[Length]],4,FALSE),IF(C84="NA","NA",IF(_xlpm.x="","NA",_xlpm.x)))</f>
        <v>Fibropellin-1-like</v>
      </c>
      <c r="F84" s="3">
        <v>27.5288943016823</v>
      </c>
      <c r="G84" s="3">
        <v>-0.74060968282018602</v>
      </c>
      <c r="H84" s="3">
        <v>0.87803513890049101</v>
      </c>
      <c r="I84" s="2">
        <v>9.3527880729049506E-5</v>
      </c>
      <c r="J84" s="2">
        <v>3.1841104789018498E-2</v>
      </c>
    </row>
    <row r="85" spans="1:10" x14ac:dyDescent="0.25">
      <c r="A85" t="s">
        <v>7</v>
      </c>
      <c r="B85" t="s">
        <v>164</v>
      </c>
      <c r="C85" t="s">
        <v>165</v>
      </c>
      <c r="D85" t="str">
        <f>_xlfn.LET(_xlpm.x,VLOOKUP(C85,Table1[[#All],[Entry]:[Length]],5,FALSE),IF(C85="NA","NA",IF(_xlpm.x="","NA",_xlpm.x)))</f>
        <v>LOC116291583</v>
      </c>
      <c r="E85" t="str">
        <f>_xlfn.LET(_xlpm.x,VLOOKUP(C85,Table1[[#All],[Entry]:[Length]],4,FALSE),IF(C85="NA","NA",IF(_xlpm.x="","NA",_xlpm.x)))</f>
        <v>QRFP-like peptide receptor</v>
      </c>
      <c r="F85" s="3">
        <v>509.58222478945697</v>
      </c>
      <c r="G85" s="3">
        <v>0.64679374873923301</v>
      </c>
      <c r="H85" s="3">
        <v>0.28708243143000201</v>
      </c>
      <c r="I85" s="2">
        <v>9.9371500281353705E-5</v>
      </c>
      <c r="J85" s="2">
        <v>3.1942676496322701E-2</v>
      </c>
    </row>
    <row r="86" spans="1:10" x14ac:dyDescent="0.25">
      <c r="A86" t="s">
        <v>7</v>
      </c>
      <c r="B86" t="s">
        <v>166</v>
      </c>
      <c r="C86" t="s">
        <v>167</v>
      </c>
      <c r="D86" t="str">
        <f>_xlfn.LET(_xlpm.x,VLOOKUP(C86,Table1[[#All],[Entry]:[Length]],5,FALSE),IF(C86="NA","NA",IF(_xlpm.x="","NA",_xlpm.x)))</f>
        <v>LOC116296613</v>
      </c>
      <c r="E86" t="str">
        <f>_xlfn.LET(_xlpm.x,VLOOKUP(C86,Table1[[#All],[Entry]:[Length]],4,FALSE),IF(C86="NA","NA",IF(_xlpm.x="","NA",_xlpm.x)))</f>
        <v>Perlucin-like protein</v>
      </c>
      <c r="F86" s="3">
        <v>430.80468830541201</v>
      </c>
      <c r="G86" s="3">
        <v>0.463538378769214</v>
      </c>
      <c r="H86" s="3">
        <v>0.97129240402614903</v>
      </c>
      <c r="I86" s="2">
        <v>9.8871349739643194E-5</v>
      </c>
      <c r="J86" s="2">
        <v>3.1942676496322701E-2</v>
      </c>
    </row>
    <row r="87" spans="1:10" x14ac:dyDescent="0.25">
      <c r="A87" t="s">
        <v>7</v>
      </c>
      <c r="B87" t="s">
        <v>168</v>
      </c>
      <c r="C87" t="s">
        <v>169</v>
      </c>
      <c r="D87" t="str">
        <f>_xlfn.LET(_xlpm.x,VLOOKUP(C87,Table1[[#All],[Entry]:[Length]],5,FALSE),IF(C87="NA","NA",IF(_xlpm.x="","NA",_xlpm.x)))</f>
        <v>LOC116296569</v>
      </c>
      <c r="E87" t="str">
        <f>_xlfn.LET(_xlpm.x,VLOOKUP(C87,Table1[[#All],[Entry]:[Length]],4,FALSE),IF(C87="NA","NA",IF(_xlpm.x="","NA",_xlpm.x)))</f>
        <v>Uncharacterized protein LOC116296569</v>
      </c>
      <c r="F87" s="3">
        <v>846.11532098310897</v>
      </c>
      <c r="G87" s="3">
        <v>0.83044328225897301</v>
      </c>
      <c r="H87" s="3">
        <v>0.42817151255745001</v>
      </c>
      <c r="I87" s="2">
        <v>1.10997925905998E-4</v>
      </c>
      <c r="J87" s="2">
        <v>3.5265073599181199E-2</v>
      </c>
    </row>
    <row r="88" spans="1:10" x14ac:dyDescent="0.25">
      <c r="A88" t="s">
        <v>7</v>
      </c>
      <c r="B88" t="s">
        <v>170</v>
      </c>
      <c r="C88" t="s">
        <v>171</v>
      </c>
      <c r="D88" t="str">
        <f>_xlfn.LET(_xlpm.x,VLOOKUP(C88,Table1[[#All],[Entry]:[Length]],5,FALSE),IF(C88="NA","NA",IF(_xlpm.x="","NA",_xlpm.x)))</f>
        <v>LOC116293373</v>
      </c>
      <c r="E88" t="str">
        <f>_xlfn.LET(_xlpm.x,VLOOKUP(C88,Table1[[#All],[Entry]:[Length]],4,FALSE),IF(C88="NA","NA",IF(_xlpm.x="","NA",_xlpm.x)))</f>
        <v>DnaJ homolog subfamily C member 21</v>
      </c>
      <c r="F88" s="3">
        <v>1594.8693775952299</v>
      </c>
      <c r="G88" s="3">
        <v>-0.80559543570774805</v>
      </c>
      <c r="H88" s="3">
        <v>0.40935658795709601</v>
      </c>
      <c r="I88" s="2">
        <v>1.13832885008816E-4</v>
      </c>
      <c r="J88" s="2">
        <v>3.5750068012596399E-2</v>
      </c>
    </row>
    <row r="89" spans="1:10" x14ac:dyDescent="0.25">
      <c r="A89" t="s">
        <v>7</v>
      </c>
      <c r="B89" t="s">
        <v>172</v>
      </c>
      <c r="C89" t="s">
        <v>173</v>
      </c>
      <c r="D89" t="str">
        <f>_xlfn.LET(_xlpm.x,VLOOKUP(C89,Table1[[#All],[Entry]:[Length]],5,FALSE),IF(C89="NA","NA",IF(_xlpm.x="","NA",_xlpm.x)))</f>
        <v>LOC116287015</v>
      </c>
      <c r="E89" t="str">
        <f>_xlfn.LET(_xlpm.x,VLOOKUP(C89,Table1[[#All],[Entry]:[Length]],4,FALSE),IF(C89="NA","NA",IF(_xlpm.x="","NA",_xlpm.x)))</f>
        <v>U-actitoxin-Avd8d-like</v>
      </c>
      <c r="F89" s="3">
        <v>208.68126368179699</v>
      </c>
      <c r="G89" s="3">
        <v>0.90561174589022098</v>
      </c>
      <c r="H89" s="3">
        <v>0.59227635684673197</v>
      </c>
      <c r="I89" s="2">
        <v>1.21283272335114E-4</v>
      </c>
      <c r="J89" s="2">
        <v>3.6551469177127399E-2</v>
      </c>
    </row>
    <row r="90" spans="1:10" x14ac:dyDescent="0.25">
      <c r="A90" t="s">
        <v>7</v>
      </c>
      <c r="B90" t="s">
        <v>174</v>
      </c>
      <c r="C90" t="s">
        <v>175</v>
      </c>
      <c r="D90" t="str">
        <f>_xlfn.LET(_xlpm.x,VLOOKUP(C90,Table1[[#All],[Entry]:[Length]],5,FALSE),IF(C90="NA","NA",IF(_xlpm.x="","NA",_xlpm.x)))</f>
        <v>LOC116288334</v>
      </c>
      <c r="E90" t="str">
        <f>_xlfn.LET(_xlpm.x,VLOOKUP(C90,Table1[[#All],[Entry]:[Length]],4,FALSE),IF(C90="NA","NA",IF(_xlpm.x="","NA",_xlpm.x)))</f>
        <v>Tyrosine aminotransferase (TAT) (EC 2.6.1.5)</v>
      </c>
      <c r="F90" s="3">
        <v>124.62062473327001</v>
      </c>
      <c r="G90" s="3">
        <v>0.87840948723377599</v>
      </c>
      <c r="H90" s="3">
        <v>0.51457835593615198</v>
      </c>
      <c r="I90" s="2">
        <v>1.21660007781063E-4</v>
      </c>
      <c r="J90" s="2">
        <v>3.6551469177127399E-2</v>
      </c>
    </row>
    <row r="91" spans="1:10" x14ac:dyDescent="0.25">
      <c r="A91" t="s">
        <v>7</v>
      </c>
      <c r="B91" t="s">
        <v>176</v>
      </c>
      <c r="C91" t="s">
        <v>177</v>
      </c>
      <c r="D91" t="str">
        <f>_xlfn.LET(_xlpm.x,VLOOKUP(C91,Table1[[#All],[Entry]:[Length]],5,FALSE),IF(C91="NA","NA",IF(_xlpm.x="","NA",_xlpm.x)))</f>
        <v>LOC116291646</v>
      </c>
      <c r="E91" t="str">
        <f>_xlfn.LET(_xlpm.x,VLOOKUP(C91,Table1[[#All],[Entry]:[Length]],4,FALSE),IF(C91="NA","NA",IF(_xlpm.x="","NA",_xlpm.x)))</f>
        <v>Diacylglycerol kinase (DAG kinase) (EC 2.7.1.107)</v>
      </c>
      <c r="F91" s="3">
        <v>1344.79232918721</v>
      </c>
      <c r="G91" s="3">
        <v>-0.666546084331189</v>
      </c>
      <c r="H91" s="3">
        <v>0.31764498482537001</v>
      </c>
      <c r="I91" s="2">
        <v>1.20908391707139E-4</v>
      </c>
      <c r="J91" s="2">
        <v>3.6551469177127399E-2</v>
      </c>
    </row>
    <row r="92" spans="1:10" x14ac:dyDescent="0.25">
      <c r="A92" t="s">
        <v>7</v>
      </c>
      <c r="B92" t="s">
        <v>178</v>
      </c>
      <c r="C92" t="s">
        <v>179</v>
      </c>
      <c r="D92" t="str">
        <f>_xlfn.LET(_xlpm.x,VLOOKUP(C92,Table1[[#All],[Entry]:[Length]],5,FALSE),IF(C92="NA","NA",IF(_xlpm.x="","NA",_xlpm.x)))</f>
        <v>LOC116297111</v>
      </c>
      <c r="E92" t="str">
        <f>_xlfn.LET(_xlpm.x,VLOOKUP(C92,Table1[[#All],[Entry]:[Length]],4,FALSE),IF(C92="NA","NA",IF(_xlpm.x="","NA",_xlpm.x)))</f>
        <v>Uncharacterized protein LOC116297111</v>
      </c>
      <c r="F92" s="3">
        <v>43.083843607099197</v>
      </c>
      <c r="G92" s="3">
        <v>-0.55061713068573004</v>
      </c>
      <c r="H92" s="3">
        <v>0.877253039573473</v>
      </c>
      <c r="I92" s="2">
        <v>1.2173566940374799E-4</v>
      </c>
      <c r="J92" s="2">
        <v>3.6551469177127399E-2</v>
      </c>
    </row>
    <row r="93" spans="1:10" x14ac:dyDescent="0.25">
      <c r="A93" t="s">
        <v>7</v>
      </c>
      <c r="B93" t="s">
        <v>180</v>
      </c>
      <c r="C93" t="s">
        <v>181</v>
      </c>
      <c r="D93" t="str">
        <f>_xlfn.LET(_xlpm.x,VLOOKUP(C93,Table1[[#All],[Entry]:[Length]],5,FALSE),IF(C93="NA","NA",IF(_xlpm.x="","NA",_xlpm.x)))</f>
        <v>LOC116295159</v>
      </c>
      <c r="E93" t="str">
        <f>_xlfn.LET(_xlpm.x,VLOOKUP(C93,Table1[[#All],[Entry]:[Length]],4,FALSE),IF(C93="NA","NA",IF(_xlpm.x="","NA",_xlpm.x)))</f>
        <v>Uncharacterized protein LOC116295159</v>
      </c>
      <c r="F93" s="3">
        <v>3388.0727842217402</v>
      </c>
      <c r="G93" s="3">
        <v>0.83442205148767501</v>
      </c>
      <c r="H93" s="3">
        <v>0.454885535255805</v>
      </c>
      <c r="I93" s="2">
        <v>1.2327100863016599E-4</v>
      </c>
      <c r="J93" s="2">
        <v>3.66101496608916E-2</v>
      </c>
    </row>
    <row r="94" spans="1:10" x14ac:dyDescent="0.25">
      <c r="A94" t="s">
        <v>7</v>
      </c>
      <c r="B94" t="s">
        <v>182</v>
      </c>
      <c r="C94" t="s">
        <v>183</v>
      </c>
      <c r="D94" t="str">
        <f>_xlfn.LET(_xlpm.x,VLOOKUP(C94,Table1[[#All],[Entry]:[Length]],5,FALSE),IF(C94="NA","NA",IF(_xlpm.x="","NA",_xlpm.x)))</f>
        <v>LOC116304543</v>
      </c>
      <c r="E94" t="str">
        <f>_xlfn.LET(_xlpm.x,VLOOKUP(C94,Table1[[#All],[Entry]:[Length]],4,FALSE),IF(C94="NA","NA",IF(_xlpm.x="","NA",_xlpm.x)))</f>
        <v>Antileukoproteinase-like</v>
      </c>
      <c r="F94" s="3">
        <v>186.61809683267199</v>
      </c>
      <c r="G94" s="3">
        <v>-0.83655872256208597</v>
      </c>
      <c r="H94" s="3">
        <v>0.46181797755359799</v>
      </c>
      <c r="I94" s="2">
        <v>1.25518226841637E-4</v>
      </c>
      <c r="J94" s="2">
        <v>3.6876715182731799E-2</v>
      </c>
    </row>
    <row r="95" spans="1:10" x14ac:dyDescent="0.25">
      <c r="A95" t="s">
        <v>7</v>
      </c>
      <c r="B95" t="s">
        <v>184</v>
      </c>
      <c r="C95" t="s">
        <v>83</v>
      </c>
      <c r="D95" t="str">
        <f>_xlfn.LET(_xlpm.x,VLOOKUP(C95,Table1[[#All],[Entry]:[Length]],5,FALSE),IF(C95="NA","NA",IF(_xlpm.x="","NA",_xlpm.x)))</f>
        <v>NA</v>
      </c>
      <c r="E95" t="str">
        <f>_xlfn.LET(_xlpm.x,VLOOKUP(C95,Table1[[#All],[Entry]:[Length]],4,FALSE),IF(C95="NA","NA",IF(_xlpm.x="","NA",_xlpm.x)))</f>
        <v>NA</v>
      </c>
      <c r="F95" s="3">
        <v>1068.3470812836699</v>
      </c>
      <c r="G95" s="3">
        <v>0.50615815715592705</v>
      </c>
      <c r="H95" s="3">
        <v>0.86915210206164395</v>
      </c>
      <c r="I95" s="2">
        <v>1.30960676259964E-4</v>
      </c>
      <c r="J95" s="2">
        <v>3.8066367632457403E-2</v>
      </c>
    </row>
    <row r="96" spans="1:10" x14ac:dyDescent="0.25">
      <c r="A96" t="s">
        <v>7</v>
      </c>
      <c r="B96" t="s">
        <v>185</v>
      </c>
      <c r="C96" t="s">
        <v>186</v>
      </c>
      <c r="D96" t="str">
        <f>_xlfn.LET(_xlpm.x,VLOOKUP(C96,Table1[[#All],[Entry]:[Length]],5,FALSE),IF(C96="NA","NA",IF(_xlpm.x="","NA",_xlpm.x)))</f>
        <v>LOC116291298</v>
      </c>
      <c r="E96" t="str">
        <f>_xlfn.LET(_xlpm.x,VLOOKUP(C96,Table1[[#All],[Entry]:[Length]],4,FALSE),IF(C96="NA","NA",IF(_xlpm.x="","NA",_xlpm.x)))</f>
        <v>Uncharacterized protein LOC116291298</v>
      </c>
      <c r="F96" s="3">
        <v>69.949183281049002</v>
      </c>
      <c r="G96" s="3">
        <v>0.88058362630501796</v>
      </c>
      <c r="H96" s="3">
        <v>0.58103543779147004</v>
      </c>
      <c r="I96" s="2">
        <v>1.3521396010072E-4</v>
      </c>
      <c r="J96" s="2">
        <v>3.8528295907709197E-2</v>
      </c>
    </row>
    <row r="97" spans="1:10" x14ac:dyDescent="0.25">
      <c r="A97" t="s">
        <v>7</v>
      </c>
      <c r="B97" t="s">
        <v>187</v>
      </c>
      <c r="C97" t="s">
        <v>188</v>
      </c>
      <c r="D97" t="str">
        <f>_xlfn.LET(_xlpm.x,VLOOKUP(C97,Table1[[#All],[Entry]:[Length]],5,FALSE),IF(C97="NA","NA",IF(_xlpm.x="","NA",_xlpm.x)))</f>
        <v>LOC116304623</v>
      </c>
      <c r="E97" t="str">
        <f>_xlfn.LET(_xlpm.x,VLOOKUP(C97,Table1[[#All],[Entry]:[Length]],4,FALSE),IF(C97="NA","NA",IF(_xlpm.x="","NA",_xlpm.x)))</f>
        <v>Peroxisomal and mitochondrial division factor 1-like isoform X2</v>
      </c>
      <c r="F97" s="3">
        <v>121.71031390054399</v>
      </c>
      <c r="G97" s="3">
        <v>-0.70368558724233399</v>
      </c>
      <c r="H97" s="3">
        <v>0.35679613759194001</v>
      </c>
      <c r="I97" s="2">
        <v>1.3691963844955201E-4</v>
      </c>
      <c r="J97" s="2">
        <v>3.8528295907709197E-2</v>
      </c>
    </row>
    <row r="98" spans="1:10" x14ac:dyDescent="0.25">
      <c r="A98" t="s">
        <v>7</v>
      </c>
      <c r="B98" t="s">
        <v>189</v>
      </c>
      <c r="C98" t="s">
        <v>190</v>
      </c>
      <c r="D98" t="str">
        <f>_xlfn.LET(_xlpm.x,VLOOKUP(C98,Table1[[#All],[Entry]:[Length]],5,FALSE),IF(C98="NA","NA",IF(_xlpm.x="","NA",_xlpm.x)))</f>
        <v>LOC116308917</v>
      </c>
      <c r="E98" t="str">
        <f>_xlfn.LET(_xlpm.x,VLOOKUP(C98,Table1[[#All],[Entry]:[Length]],4,FALSE),IF(C98="NA","NA",IF(_xlpm.x="","NA",_xlpm.x)))</f>
        <v>ornithine decarboxylase (EC 4.1.1.17)</v>
      </c>
      <c r="F98" s="3">
        <v>3155.6452417230598</v>
      </c>
      <c r="G98" s="3">
        <v>0.67808386981047497</v>
      </c>
      <c r="H98" s="3">
        <v>0.34047969978390802</v>
      </c>
      <c r="I98" s="2">
        <v>1.38190279213685E-4</v>
      </c>
      <c r="J98" s="2">
        <v>3.8528295907709197E-2</v>
      </c>
    </row>
    <row r="99" spans="1:10" x14ac:dyDescent="0.25">
      <c r="A99" t="s">
        <v>7</v>
      </c>
      <c r="B99" t="s">
        <v>191</v>
      </c>
      <c r="C99" t="s">
        <v>192</v>
      </c>
      <c r="D99" t="str">
        <f>_xlfn.LET(_xlpm.x,VLOOKUP(C99,Table1[[#All],[Entry]:[Length]],5,FALSE),IF(C99="NA","NA",IF(_xlpm.x="","NA",_xlpm.x)))</f>
        <v>LOC116301787</v>
      </c>
      <c r="E99" t="str">
        <f>_xlfn.LET(_xlpm.x,VLOOKUP(C99,Table1[[#All],[Entry]:[Length]],4,FALSE),IF(C99="NA","NA",IF(_xlpm.x="","NA",_xlpm.x)))</f>
        <v>Metabotropic glutamate receptor 3-like isoform X1 (Metabotropic glutamate receptor 3-like isoform X2)</v>
      </c>
      <c r="F99" s="3">
        <v>454.92239708452598</v>
      </c>
      <c r="G99" s="3">
        <v>-0.47199172564505598</v>
      </c>
      <c r="H99" s="3">
        <v>0.229378740887687</v>
      </c>
      <c r="I99" s="2">
        <v>1.3616513880865499E-4</v>
      </c>
      <c r="J99" s="2">
        <v>3.8528295907709197E-2</v>
      </c>
    </row>
    <row r="100" spans="1:10" x14ac:dyDescent="0.25">
      <c r="A100" t="s">
        <v>7</v>
      </c>
      <c r="B100" t="s">
        <v>193</v>
      </c>
      <c r="C100" t="s">
        <v>194</v>
      </c>
      <c r="D100" t="str">
        <f>_xlfn.LET(_xlpm.x,VLOOKUP(C100,Table1[[#All],[Entry]:[Length]],5,FALSE),IF(C100="NA","NA",IF(_xlpm.x="","NA",_xlpm.x)))</f>
        <v>LOC116305302</v>
      </c>
      <c r="E100" t="str">
        <f>_xlfn.LET(_xlpm.x,VLOOKUP(C100,Table1[[#All],[Entry]:[Length]],4,FALSE),IF(C100="NA","NA",IF(_xlpm.x="","NA",_xlpm.x)))</f>
        <v>Frizzled-9-like</v>
      </c>
      <c r="F100" s="3">
        <v>17.090767594687701</v>
      </c>
      <c r="G100" s="3">
        <v>0.52123364566260899</v>
      </c>
      <c r="H100" s="3">
        <v>0.83884880585616595</v>
      </c>
      <c r="I100" s="2">
        <v>1.49189460075687E-4</v>
      </c>
      <c r="J100" s="2">
        <v>4.1174784016646503E-2</v>
      </c>
    </row>
    <row r="101" spans="1:10" x14ac:dyDescent="0.25">
      <c r="A101" t="s">
        <v>7</v>
      </c>
      <c r="B101" t="s">
        <v>195</v>
      </c>
      <c r="C101" t="s">
        <v>196</v>
      </c>
      <c r="D101" t="str">
        <f>_xlfn.LET(_xlpm.x,VLOOKUP(C101,Table1[[#All],[Entry]:[Length]],5,FALSE),IF(C101="NA","NA",IF(_xlpm.x="","NA",_xlpm.x)))</f>
        <v>LOC116307251</v>
      </c>
      <c r="E101" t="str">
        <f>_xlfn.LET(_xlpm.x,VLOOKUP(C101,Table1[[#All],[Entry]:[Length]],4,FALSE),IF(C101="NA","NA",IF(_xlpm.x="","NA",_xlpm.x)))</f>
        <v>LIM/homeobox protein Lhx1-like</v>
      </c>
      <c r="F101" s="3">
        <v>224.862881051844</v>
      </c>
      <c r="G101" s="3">
        <v>0.59357305943641603</v>
      </c>
      <c r="H101" s="3">
        <v>0.30237319387293998</v>
      </c>
      <c r="I101" s="2">
        <v>1.56064250372914E-4</v>
      </c>
      <c r="J101" s="2">
        <v>4.2641435129391198E-2</v>
      </c>
    </row>
    <row r="102" spans="1:10" x14ac:dyDescent="0.25">
      <c r="A102" t="s">
        <v>7</v>
      </c>
      <c r="B102" t="s">
        <v>197</v>
      </c>
      <c r="C102" t="s">
        <v>198</v>
      </c>
      <c r="D102" t="str">
        <f>_xlfn.LET(_xlpm.x,VLOOKUP(C102,Table1[[#All],[Entry]:[Length]],5,FALSE),IF(C102="NA","NA",IF(_xlpm.x="","NA",_xlpm.x)))</f>
        <v>LOC116287145</v>
      </c>
      <c r="E102" t="str">
        <f>_xlfn.LET(_xlpm.x,VLOOKUP(C102,Table1[[#All],[Entry]:[Length]],4,FALSE),IF(C102="NA","NA",IF(_xlpm.x="","NA",_xlpm.x)))</f>
        <v>von Willebrand factor D and EGF domain-containing protein-like</v>
      </c>
      <c r="F102" s="3">
        <v>702.75225280814595</v>
      </c>
      <c r="G102" s="3">
        <v>-0.73532036795273803</v>
      </c>
      <c r="H102" s="3">
        <v>0.40492843771501302</v>
      </c>
      <c r="I102" s="2">
        <v>1.5879700979812199E-4</v>
      </c>
      <c r="J102" s="2">
        <v>4.2958521769446402E-2</v>
      </c>
    </row>
    <row r="103" spans="1:10" x14ac:dyDescent="0.25">
      <c r="A103" t="s">
        <v>7</v>
      </c>
      <c r="B103" t="s">
        <v>199</v>
      </c>
      <c r="C103" t="s">
        <v>200</v>
      </c>
      <c r="D103" t="str">
        <f>_xlfn.LET(_xlpm.x,VLOOKUP(C103,Table1[[#All],[Entry]:[Length]],5,FALSE),IF(C103="NA","NA",IF(_xlpm.x="","NA",_xlpm.x)))</f>
        <v>LOC116296508</v>
      </c>
      <c r="E103" t="str">
        <f>_xlfn.LET(_xlpm.x,VLOOKUP(C103,Table1[[#All],[Entry]:[Length]],4,FALSE),IF(C103="NA","NA",IF(_xlpm.x="","NA",_xlpm.x)))</f>
        <v>Pollen-specific leucine-rich repeat extensin-like protein 3</v>
      </c>
      <c r="F103" s="3">
        <v>1376.2194585741299</v>
      </c>
      <c r="G103" s="3">
        <v>0.83785293526004601</v>
      </c>
      <c r="H103" s="3">
        <v>0.56028673423851305</v>
      </c>
      <c r="I103" s="2">
        <v>1.61611028128585E-4</v>
      </c>
      <c r="J103" s="2">
        <v>4.3291158054483699E-2</v>
      </c>
    </row>
    <row r="104" spans="1:10" x14ac:dyDescent="0.25">
      <c r="A104" t="s">
        <v>7</v>
      </c>
      <c r="B104" t="s">
        <v>201</v>
      </c>
      <c r="C104" t="s">
        <v>202</v>
      </c>
      <c r="D104" t="str">
        <f>_xlfn.LET(_xlpm.x,VLOOKUP(C104,Table1[[#All],[Entry]:[Length]],5,FALSE),IF(C104="NA","NA",IF(_xlpm.x="","NA",_xlpm.x)))</f>
        <v>LOC116306872</v>
      </c>
      <c r="E104" t="str">
        <f>_xlfn.LET(_xlpm.x,VLOOKUP(C104,Table1[[#All],[Entry]:[Length]],4,FALSE),IF(C104="NA","NA",IF(_xlpm.x="","NA",_xlpm.x)))</f>
        <v>Ankyrin repeat and BTB/POZ domain-containing protein 1-like</v>
      </c>
      <c r="F104" s="3">
        <v>291.16722923022797</v>
      </c>
      <c r="G104" s="3">
        <v>-0.48906782816771899</v>
      </c>
      <c r="H104" s="3">
        <v>0.25134129636437402</v>
      </c>
      <c r="I104" s="2">
        <v>1.63357095488766E-4</v>
      </c>
      <c r="J104" s="2">
        <v>4.3334038058636497E-2</v>
      </c>
    </row>
    <row r="105" spans="1:10" x14ac:dyDescent="0.25">
      <c r="A105" t="s">
        <v>7</v>
      </c>
      <c r="B105" t="s">
        <v>203</v>
      </c>
      <c r="C105" t="s">
        <v>204</v>
      </c>
      <c r="D105" t="str">
        <f>_xlfn.LET(_xlpm.x,VLOOKUP(C105,Table1[[#All],[Entry]:[Length]],5,FALSE),IF(C105="NA","NA",IF(_xlpm.x="","NA",_xlpm.x)))</f>
        <v>LOC116307107</v>
      </c>
      <c r="E105" t="str">
        <f>_xlfn.LET(_xlpm.x,VLOOKUP(C105,Table1[[#All],[Entry]:[Length]],4,FALSE),IF(C105="NA","NA",IF(_xlpm.x="","NA",_xlpm.x)))</f>
        <v>Uncharacterized protein LOC116307107 isoform X1</v>
      </c>
      <c r="F105" s="3">
        <v>76.049549645473107</v>
      </c>
      <c r="G105" s="3">
        <v>-0.82221141345343196</v>
      </c>
      <c r="H105" s="3">
        <v>0.67025501083188399</v>
      </c>
      <c r="I105" s="2">
        <v>1.69094516957021E-4</v>
      </c>
      <c r="J105" s="2">
        <v>4.44247066040067E-2</v>
      </c>
    </row>
    <row r="106" spans="1:10" x14ac:dyDescent="0.25">
      <c r="A106" t="s">
        <v>7</v>
      </c>
      <c r="B106" t="s">
        <v>205</v>
      </c>
      <c r="C106" t="s">
        <v>206</v>
      </c>
      <c r="D106" t="str">
        <f>_xlfn.LET(_xlpm.x,VLOOKUP(C106,Table1[[#All],[Entry]:[Length]],5,FALSE),IF(C106="NA","NA",IF(_xlpm.x="","NA",_xlpm.x)))</f>
        <v>LOC116307323</v>
      </c>
      <c r="E106" t="str">
        <f>_xlfn.LET(_xlpm.x,VLOOKUP(C106,Table1[[#All],[Entry]:[Length]],4,FALSE),IF(C106="NA","NA",IF(_xlpm.x="","NA",_xlpm.x)))</f>
        <v>Homeobox protein OTX-like isoform X3</v>
      </c>
      <c r="F106" s="3">
        <v>252.71321861815699</v>
      </c>
      <c r="G106" s="3">
        <v>-0.81800546890982895</v>
      </c>
      <c r="H106" s="3">
        <v>0.66285719191428805</v>
      </c>
      <c r="I106" s="2">
        <v>1.7423826093796501E-4</v>
      </c>
      <c r="J106" s="2">
        <v>4.53401143200763E-2</v>
      </c>
    </row>
    <row r="107" spans="1:10" x14ac:dyDescent="0.25">
      <c r="A107" t="s">
        <v>7</v>
      </c>
      <c r="B107" t="s">
        <v>207</v>
      </c>
      <c r="C107" t="s">
        <v>154</v>
      </c>
      <c r="D107" t="str">
        <f>_xlfn.LET(_xlpm.x,VLOOKUP(C107,Table1[[#All],[Entry]:[Length]],5,FALSE),IF(C107="NA","NA",IF(_xlpm.x="","NA",_xlpm.x)))</f>
        <v>LOC116304503</v>
      </c>
      <c r="E107" t="str">
        <f>_xlfn.LET(_xlpm.x,VLOOKUP(C107,Table1[[#All],[Entry]:[Length]],4,FALSE),IF(C107="NA","NA",IF(_xlpm.x="","NA",_xlpm.x)))</f>
        <v>Uncharacterized protein LOC116304503</v>
      </c>
      <c r="F107" s="3">
        <v>72.998391751311303</v>
      </c>
      <c r="G107" s="3">
        <v>0.814840723797986</v>
      </c>
      <c r="H107" s="3">
        <v>0.63714057356624398</v>
      </c>
      <c r="I107" s="2">
        <v>1.82325134215805E-4</v>
      </c>
      <c r="J107" s="2">
        <v>4.68888880901994E-2</v>
      </c>
    </row>
    <row r="108" spans="1:10" x14ac:dyDescent="0.25">
      <c r="A108" t="s">
        <v>7</v>
      </c>
      <c r="B108" t="s">
        <v>208</v>
      </c>
      <c r="C108" t="s">
        <v>209</v>
      </c>
      <c r="D108" t="str">
        <f>_xlfn.LET(_xlpm.x,VLOOKUP(C108,Table1[[#All],[Entry]:[Length]],5,FALSE),IF(C108="NA","NA",IF(_xlpm.x="","NA",_xlpm.x)))</f>
        <v>LOC116290110</v>
      </c>
      <c r="E108" t="str">
        <f>_xlfn.LET(_xlpm.x,VLOOKUP(C108,Table1[[#All],[Entry]:[Length]],4,FALSE),IF(C108="NA","NA",IF(_xlpm.x="","NA",_xlpm.x)))</f>
        <v>procollagen-proline 4-dioxygenase (EC 1.14.11.2)</v>
      </c>
      <c r="F108" s="3">
        <v>328.05464509433801</v>
      </c>
      <c r="G108" s="3">
        <v>0.64503573720581098</v>
      </c>
      <c r="H108" s="3">
        <v>0.35499569943989601</v>
      </c>
      <c r="I108" s="2">
        <v>1.83622260573558E-4</v>
      </c>
      <c r="J108" s="2">
        <v>4.68888880901994E-2</v>
      </c>
    </row>
    <row r="109" spans="1:10" x14ac:dyDescent="0.25">
      <c r="A109" t="s">
        <v>7</v>
      </c>
      <c r="B109" t="s">
        <v>210</v>
      </c>
      <c r="C109" t="s">
        <v>154</v>
      </c>
      <c r="D109" t="str">
        <f>_xlfn.LET(_xlpm.x,VLOOKUP(C109,Table1[[#All],[Entry]:[Length]],5,FALSE),IF(C109="NA","NA",IF(_xlpm.x="","NA",_xlpm.x)))</f>
        <v>LOC116304503</v>
      </c>
      <c r="E109" t="str">
        <f>_xlfn.LET(_xlpm.x,VLOOKUP(C109,Table1[[#All],[Entry]:[Length]],4,FALSE),IF(C109="NA","NA",IF(_xlpm.x="","NA",_xlpm.x)))</f>
        <v>Uncharacterized protein LOC116304503</v>
      </c>
      <c r="F109" s="3">
        <v>68.377150485359905</v>
      </c>
      <c r="G109" s="3">
        <v>0.80434441380285804</v>
      </c>
      <c r="H109" s="3">
        <v>0.64010365542037795</v>
      </c>
      <c r="I109" s="2">
        <v>1.9026061871627801E-4</v>
      </c>
      <c r="J109" s="2">
        <v>4.7692576928301499E-2</v>
      </c>
    </row>
    <row r="110" spans="1:10" x14ac:dyDescent="0.25">
      <c r="A110" t="s">
        <v>7</v>
      </c>
      <c r="B110" t="s">
        <v>211</v>
      </c>
      <c r="C110" t="s">
        <v>212</v>
      </c>
      <c r="D110" t="str">
        <f>_xlfn.LET(_xlpm.x,VLOOKUP(C110,Table1[[#All],[Entry]:[Length]],5,FALSE),IF(C110="NA","NA",IF(_xlpm.x="","NA",_xlpm.x)))</f>
        <v>LOC116295585</v>
      </c>
      <c r="E110" t="str">
        <f>_xlfn.LET(_xlpm.x,VLOOKUP(C110,Table1[[#All],[Entry]:[Length]],4,FALSE),IF(C110="NA","NA",IF(_xlpm.x="","NA",_xlpm.x)))</f>
        <v>Deleted in malignant brain tumors 1 protein-like isoform X2</v>
      </c>
      <c r="F110" s="3">
        <v>399.18049012296802</v>
      </c>
      <c r="G110" s="3">
        <v>-0.28320313778964101</v>
      </c>
      <c r="H110" s="3">
        <v>0.81730424804213897</v>
      </c>
      <c r="I110" s="2">
        <v>1.8879047648439999E-4</v>
      </c>
      <c r="J110" s="2">
        <v>4.7692576928301499E-2</v>
      </c>
    </row>
    <row r="111" spans="1:10" x14ac:dyDescent="0.25">
      <c r="A111" t="s">
        <v>7</v>
      </c>
      <c r="B111" t="s">
        <v>213</v>
      </c>
      <c r="C111" t="s">
        <v>214</v>
      </c>
      <c r="D111" t="str">
        <f>_xlfn.LET(_xlpm.x,VLOOKUP(C111,Table1[[#All],[Entry]:[Length]],5,FALSE),IF(C111="NA","NA",IF(_xlpm.x="","NA",_xlpm.x)))</f>
        <v>LOC116292601</v>
      </c>
      <c r="E111" t="str">
        <f>_xlfn.LET(_xlpm.x,VLOOKUP(C111,Table1[[#All],[Entry]:[Length]],4,FALSE),IF(C111="NA","NA",IF(_xlpm.x="","NA",_xlpm.x)))</f>
        <v>Uncharacterized protein LOC116292601</v>
      </c>
      <c r="F111" s="3">
        <v>62.652465855276397</v>
      </c>
      <c r="G111" s="3">
        <v>-0.75155054196635895</v>
      </c>
      <c r="H111" s="3">
        <v>0.72129603945920795</v>
      </c>
      <c r="I111" s="2">
        <v>1.92670179770319E-4</v>
      </c>
      <c r="J111" s="2">
        <v>4.7857521107858403E-2</v>
      </c>
    </row>
    <row r="112" spans="1:10" x14ac:dyDescent="0.25">
      <c r="A112" t="s">
        <v>7</v>
      </c>
      <c r="B112" t="s">
        <v>215</v>
      </c>
      <c r="C112" t="s">
        <v>216</v>
      </c>
      <c r="D112" t="str">
        <f>_xlfn.LET(_xlpm.x,VLOOKUP(C112,Table1[[#All],[Entry]:[Length]],5,FALSE),IF(C112="NA","NA",IF(_xlpm.x="","NA",_xlpm.x)))</f>
        <v>LOC116296849</v>
      </c>
      <c r="E112" t="str">
        <f>_xlfn.LET(_xlpm.x,VLOOKUP(C112,Table1[[#All],[Entry]:[Length]],4,FALSE),IF(C112="NA","NA",IF(_xlpm.x="","NA",_xlpm.x)))</f>
        <v>Cholinesterase 1-like</v>
      </c>
      <c r="F112" s="3">
        <v>39.350490375592301</v>
      </c>
      <c r="G112" s="3">
        <v>0.79693414231012405</v>
      </c>
      <c r="H112" s="3">
        <v>0.57405326843052196</v>
      </c>
      <c r="I112" s="2">
        <v>1.98341353039154E-4</v>
      </c>
      <c r="J112" s="2">
        <v>4.8288714128800002E-2</v>
      </c>
    </row>
    <row r="113" spans="1:10" x14ac:dyDescent="0.25">
      <c r="A113" t="s">
        <v>7</v>
      </c>
      <c r="B113" t="s">
        <v>217</v>
      </c>
      <c r="C113" t="s">
        <v>83</v>
      </c>
      <c r="D113" t="str">
        <f>_xlfn.LET(_xlpm.x,VLOOKUP(C113,Table1[[#All],[Entry]:[Length]],5,FALSE),IF(C113="NA","NA",IF(_xlpm.x="","NA",_xlpm.x)))</f>
        <v>NA</v>
      </c>
      <c r="E113" t="str">
        <f>_xlfn.LET(_xlpm.x,VLOOKUP(C113,Table1[[#All],[Entry]:[Length]],4,FALSE),IF(C113="NA","NA",IF(_xlpm.x="","NA",_xlpm.x)))</f>
        <v>NA</v>
      </c>
      <c r="F113" s="3">
        <v>26593.365735845498</v>
      </c>
      <c r="G113" s="3">
        <v>0.58959626951856003</v>
      </c>
      <c r="H113" s="3">
        <v>0.32816301639298601</v>
      </c>
      <c r="I113" s="2">
        <v>2.00362613803475E-4</v>
      </c>
      <c r="J113" s="2">
        <v>4.8288714128800002E-2</v>
      </c>
    </row>
    <row r="114" spans="1:10" x14ac:dyDescent="0.25">
      <c r="A114" t="s">
        <v>7</v>
      </c>
      <c r="B114" t="s">
        <v>218</v>
      </c>
      <c r="C114" t="s">
        <v>219</v>
      </c>
      <c r="D114" t="str">
        <f>_xlfn.LET(_xlpm.x,VLOOKUP(C114,Table1[[#All],[Entry]:[Length]],5,FALSE),IF(C114="NA","NA",IF(_xlpm.x="","NA",_xlpm.x)))</f>
        <v>LOC116290136</v>
      </c>
      <c r="E114" t="str">
        <f>_xlfn.LET(_xlpm.x,VLOOKUP(C114,Table1[[#All],[Entry]:[Length]],4,FALSE),IF(C114="NA","NA",IF(_xlpm.x="","NA",_xlpm.x)))</f>
        <v>Transmembrane protein 205-like</v>
      </c>
      <c r="F114" s="3">
        <v>30.974677238390001</v>
      </c>
      <c r="G114" s="3">
        <v>-0.53699461304585105</v>
      </c>
      <c r="H114" s="3">
        <v>0.78551371679766802</v>
      </c>
      <c r="I114" s="2">
        <v>2.0343145210207099E-4</v>
      </c>
      <c r="J114" s="2">
        <v>4.8288714128800002E-2</v>
      </c>
    </row>
    <row r="115" spans="1:10" x14ac:dyDescent="0.25">
      <c r="A115" t="s">
        <v>7</v>
      </c>
      <c r="B115" t="s">
        <v>220</v>
      </c>
      <c r="C115" t="s">
        <v>221</v>
      </c>
      <c r="D115" t="str">
        <f>_xlfn.LET(_xlpm.x,VLOOKUP(C115,Table1[[#All],[Entry]:[Length]],5,FALSE),IF(C115="NA","NA",IF(_xlpm.x="","NA",_xlpm.x)))</f>
        <v>LOC116290945</v>
      </c>
      <c r="E115" t="str">
        <f>_xlfn.LET(_xlpm.x,VLOOKUP(C115,Table1[[#All],[Entry]:[Length]],4,FALSE),IF(C115="NA","NA",IF(_xlpm.x="","NA",_xlpm.x)))</f>
        <v>Uncharacterized protein LOC116290945</v>
      </c>
      <c r="F115" s="3">
        <v>467.16150196840999</v>
      </c>
      <c r="G115" s="3">
        <v>-0.52624766370741105</v>
      </c>
      <c r="H115" s="3">
        <v>0.78810581602274099</v>
      </c>
      <c r="I115" s="2">
        <v>2.0064793201392801E-4</v>
      </c>
      <c r="J115" s="2">
        <v>4.8288714128800002E-2</v>
      </c>
    </row>
    <row r="116" spans="1:10" x14ac:dyDescent="0.25">
      <c r="A116" t="s">
        <v>7</v>
      </c>
      <c r="B116" t="s">
        <v>222</v>
      </c>
      <c r="C116" t="s">
        <v>223</v>
      </c>
      <c r="D116" t="str">
        <f>_xlfn.LET(_xlpm.x,VLOOKUP(C116,Table1[[#All],[Entry]:[Length]],5,FALSE),IF(C116="NA","NA",IF(_xlpm.x="","NA",_xlpm.x)))</f>
        <v>LOC116306956</v>
      </c>
      <c r="E116" t="str">
        <f>_xlfn.LET(_xlpm.x,VLOOKUP(C116,Table1[[#All],[Entry]:[Length]],4,FALSE),IF(C116="NA","NA",IF(_xlpm.x="","NA",_xlpm.x)))</f>
        <v>Uncharacterized protein LOC116306956</v>
      </c>
      <c r="F116" s="3">
        <v>978.63077654230904</v>
      </c>
      <c r="G116" s="3">
        <v>0.447114580583582</v>
      </c>
      <c r="H116" s="3">
        <v>0.78683607834841995</v>
      </c>
      <c r="I116" s="2">
        <v>2.02765933259418E-4</v>
      </c>
      <c r="J116" s="2">
        <v>4.8288714128800002E-2</v>
      </c>
    </row>
    <row r="117" spans="1:10" x14ac:dyDescent="0.25">
      <c r="A117" t="s">
        <v>7</v>
      </c>
      <c r="B117" t="s">
        <v>224</v>
      </c>
      <c r="C117" t="s">
        <v>225</v>
      </c>
      <c r="D117" t="str">
        <f>_xlfn.LET(_xlpm.x,VLOOKUP(C117,Table1[[#All],[Entry]:[Length]],5,FALSE),IF(C117="NA","NA",IF(_xlpm.x="","NA",_xlpm.x)))</f>
        <v>LOC116287411</v>
      </c>
      <c r="E117" t="str">
        <f>_xlfn.LET(_xlpm.x,VLOOKUP(C117,Table1[[#All],[Entry]:[Length]],4,FALSE),IF(C117="NA","NA",IF(_xlpm.x="","NA",_xlpm.x)))</f>
        <v>Uncharacterized protein LOC116287411 isoform X1</v>
      </c>
      <c r="F117" s="3">
        <v>102.91145071618</v>
      </c>
      <c r="G117" s="3">
        <v>-0.20957275670960901</v>
      </c>
      <c r="H117" s="3">
        <v>0.81066939108594205</v>
      </c>
      <c r="I117" s="2">
        <v>2.05010095485152E-4</v>
      </c>
      <c r="J117" s="2">
        <v>4.8288714128800002E-2</v>
      </c>
    </row>
    <row r="118" spans="1:10" x14ac:dyDescent="0.25">
      <c r="A118" t="s">
        <v>7</v>
      </c>
      <c r="B118" t="s">
        <v>226</v>
      </c>
      <c r="C118" t="s">
        <v>227</v>
      </c>
      <c r="D118" t="str">
        <f>_xlfn.LET(_xlpm.x,VLOOKUP(C118,Table1[[#All],[Entry]:[Length]],5,FALSE),IF(C118="NA","NA",IF(_xlpm.x="","NA",_xlpm.x)))</f>
        <v>LOC116296086</v>
      </c>
      <c r="E118" t="str">
        <f>_xlfn.LET(_xlpm.x,VLOOKUP(C118,Table1[[#All],[Entry]:[Length]],4,FALSE),IF(C118="NA","NA",IF(_xlpm.x="","NA",_xlpm.x)))</f>
        <v>Neurogenic locus notch homolog protein 1-like</v>
      </c>
      <c r="F118" s="3">
        <v>52.495980228168101</v>
      </c>
      <c r="G118" s="3">
        <v>-0.56842542045643396</v>
      </c>
      <c r="H118" s="3">
        <v>0.77871181460648997</v>
      </c>
      <c r="I118" s="2">
        <v>2.0935756306239399E-4</v>
      </c>
      <c r="J118" s="2">
        <v>4.8891253808151999E-2</v>
      </c>
    </row>
    <row r="119" spans="1:10" x14ac:dyDescent="0.25">
      <c r="A119" t="s">
        <v>7</v>
      </c>
      <c r="B119" t="s">
        <v>228</v>
      </c>
      <c r="C119" t="s">
        <v>95</v>
      </c>
      <c r="D119" t="str">
        <f>_xlfn.LET(_xlpm.x,VLOOKUP(C119,Table1[[#All],[Entry]:[Length]],5,FALSE),IF(C119="NA","NA",IF(_xlpm.x="","NA",_xlpm.x)))</f>
        <v>PACLA_8A045298</v>
      </c>
      <c r="E119" t="str">
        <f>_xlfn.LET(_xlpm.x,VLOOKUP(C119,Table1[[#All],[Entry]:[Length]],4,FALSE),IF(C119="NA","NA",IF(_xlpm.x="","NA",_xlpm.x)))</f>
        <v>94 secreted antigen</v>
      </c>
      <c r="F119" s="3">
        <v>94.877695434458204</v>
      </c>
      <c r="G119" s="3">
        <v>0.78321674540328701</v>
      </c>
      <c r="H119" s="3">
        <v>0.59905822836312095</v>
      </c>
      <c r="I119" s="2">
        <v>2.1322590837086899E-4</v>
      </c>
      <c r="J119" s="2">
        <v>4.9371668128823501E-2</v>
      </c>
    </row>
    <row r="120" spans="1:10" x14ac:dyDescent="0.25">
      <c r="A120" t="s">
        <v>7</v>
      </c>
      <c r="B120" t="s">
        <v>229</v>
      </c>
      <c r="C120" t="s">
        <v>230</v>
      </c>
      <c r="D120" t="str">
        <f>_xlfn.LET(_xlpm.x,VLOOKUP(C120,Table1[[#All],[Entry]:[Length]],5,FALSE),IF(C120="NA","NA",IF(_xlpm.x="","NA",_xlpm.x)))</f>
        <v>LOC116307630</v>
      </c>
      <c r="E120" t="str">
        <f>_xlfn.LET(_xlpm.x,VLOOKUP(C120,Table1[[#All],[Entry]:[Length]],4,FALSE),IF(C120="NA","NA",IF(_xlpm.x="","NA",_xlpm.x)))</f>
        <v>Uncharacterized protein LOC116307630 isoform X2</v>
      </c>
      <c r="F120" s="3">
        <v>302.96161273353903</v>
      </c>
      <c r="G120" s="3">
        <v>0.74724427755109502</v>
      </c>
      <c r="H120" s="3">
        <v>0.49052999191459401</v>
      </c>
      <c r="I120" s="2">
        <v>2.1502867574314601E-4</v>
      </c>
      <c r="J120" s="2">
        <v>4.9371668128823501E-2</v>
      </c>
    </row>
    <row r="121" spans="1:10" x14ac:dyDescent="0.25">
      <c r="A121" t="s">
        <v>7</v>
      </c>
      <c r="B121" t="s">
        <v>231</v>
      </c>
      <c r="C121" t="s">
        <v>232</v>
      </c>
      <c r="D121" t="str">
        <f>_xlfn.LET(_xlpm.x,VLOOKUP(C121,Table1[[#All],[Entry]:[Length]],5,FALSE),IF(C121="NA","NA",IF(_xlpm.x="","NA",_xlpm.x)))</f>
        <v>LOC116293465</v>
      </c>
      <c r="E121" t="str">
        <f>_xlfn.LET(_xlpm.x,VLOOKUP(C121,Table1[[#All],[Entry]:[Length]],4,FALSE),IF(C121="NA","NA",IF(_xlpm.x="","NA",_xlpm.x)))</f>
        <v>Collagen alpha-1(I) chain-like</v>
      </c>
      <c r="F121" s="3">
        <v>136.163877367749</v>
      </c>
      <c r="G121" s="3">
        <v>0.71584148412417603</v>
      </c>
      <c r="H121" s="3">
        <v>0.71877005264646299</v>
      </c>
      <c r="I121" s="2">
        <v>2.19248663497862E-4</v>
      </c>
      <c r="J121" s="2">
        <v>4.99210936062673E-2</v>
      </c>
    </row>
    <row r="122" spans="1:10" x14ac:dyDescent="0.25">
      <c r="A122" t="s">
        <v>7</v>
      </c>
      <c r="B122" t="s">
        <v>233</v>
      </c>
      <c r="C122" t="s">
        <v>234</v>
      </c>
      <c r="D122" t="str">
        <f>_xlfn.LET(_xlpm.x,VLOOKUP(C122,Table1[[#All],[Entry]:[Length]],5,FALSE),IF(C122="NA","NA",IF(_xlpm.x="","NA",_xlpm.x)))</f>
        <v>LOC116305856</v>
      </c>
      <c r="E122" t="str">
        <f>_xlfn.LET(_xlpm.x,VLOOKUP(C122,Table1[[#All],[Entry]:[Length]],4,FALSE),IF(C122="NA","NA",IF(_xlpm.x="","NA",_xlpm.x)))</f>
        <v>Uncharacterized protein LOC116305856</v>
      </c>
      <c r="F122" s="3">
        <v>203.531262087963</v>
      </c>
      <c r="G122" s="3">
        <v>0.70350796756059397</v>
      </c>
      <c r="H122" s="3">
        <v>0.43982175100526799</v>
      </c>
      <c r="I122" s="2">
        <v>2.2153377873792299E-4</v>
      </c>
      <c r="J122" s="2">
        <v>5.00245242682337E-2</v>
      </c>
    </row>
    <row r="123" spans="1:10" x14ac:dyDescent="0.25">
      <c r="A123" t="s">
        <v>7</v>
      </c>
      <c r="B123" t="s">
        <v>235</v>
      </c>
      <c r="C123" t="s">
        <v>236</v>
      </c>
      <c r="D123" t="str">
        <f>_xlfn.LET(_xlpm.x,VLOOKUP(C123,Table1[[#All],[Entry]:[Length]],5,FALSE),IF(C123="NA","NA",IF(_xlpm.x="","NA",_xlpm.x)))</f>
        <v>NEMVEDRAFT_v1g245995</v>
      </c>
      <c r="E123" t="str">
        <f>_xlfn.LET(_xlpm.x,VLOOKUP(C123,Table1[[#All],[Entry]:[Length]],4,FALSE),IF(C123="NA","NA",IF(_xlpm.x="","NA",_xlpm.x)))</f>
        <v>Uncharacterized protein</v>
      </c>
      <c r="F123" s="3">
        <v>2097.5264651665302</v>
      </c>
      <c r="G123" s="3">
        <v>-0.723539943277697</v>
      </c>
      <c r="H123" s="3">
        <v>0.46888853374434902</v>
      </c>
      <c r="I123" s="2">
        <v>2.2501917135268399E-4</v>
      </c>
      <c r="J123" s="2">
        <v>5.03950722858146E-2</v>
      </c>
    </row>
    <row r="124" spans="1:10" x14ac:dyDescent="0.25">
      <c r="A124" t="s">
        <v>7</v>
      </c>
      <c r="B124" t="s">
        <v>237</v>
      </c>
      <c r="C124" t="s">
        <v>238</v>
      </c>
      <c r="D124" t="str">
        <f>_xlfn.LET(_xlpm.x,VLOOKUP(C124,Table1[[#All],[Entry]:[Length]],5,FALSE),IF(C124="NA","NA",IF(_xlpm.x="","NA",_xlpm.x)))</f>
        <v>LOC116296512</v>
      </c>
      <c r="E124" t="str">
        <f>_xlfn.LET(_xlpm.x,VLOOKUP(C124,Table1[[#All],[Entry]:[Length]],4,FALSE),IF(C124="NA","NA",IF(_xlpm.x="","NA",_xlpm.x)))</f>
        <v>Leucine-rich repeat extensin-like protein 3</v>
      </c>
      <c r="F124" s="3">
        <v>1122.5456875503301</v>
      </c>
      <c r="G124" s="3">
        <v>0.76564870722860201</v>
      </c>
      <c r="H124" s="3">
        <v>0.56360481747302504</v>
      </c>
      <c r="I124" s="2">
        <v>2.2710744927091701E-4</v>
      </c>
      <c r="J124" s="2">
        <v>5.0449242572595698E-2</v>
      </c>
    </row>
    <row r="125" spans="1:10" x14ac:dyDescent="0.25">
      <c r="A125" t="s">
        <v>7</v>
      </c>
      <c r="B125" t="s">
        <v>239</v>
      </c>
      <c r="C125" t="s">
        <v>240</v>
      </c>
      <c r="D125" t="str">
        <f>_xlfn.LET(_xlpm.x,VLOOKUP(C125,Table1[[#All],[Entry]:[Length]],5,FALSE),IF(C125="NA","NA",IF(_xlpm.x="","NA",_xlpm.x)))</f>
        <v>LOC116294509</v>
      </c>
      <c r="E125" t="str">
        <f>_xlfn.LET(_xlpm.x,VLOOKUP(C125,Table1[[#All],[Entry]:[Length]],4,FALSE),IF(C125="NA","NA",IF(_xlpm.x="","NA",_xlpm.x)))</f>
        <v>Polycystin-1-like</v>
      </c>
      <c r="F125" s="3">
        <v>250.60305922168001</v>
      </c>
      <c r="G125" s="3">
        <v>-0.63811864249724404</v>
      </c>
      <c r="H125" s="3">
        <v>0.38388621062164302</v>
      </c>
      <c r="I125" s="2">
        <v>2.3058155543338E-4</v>
      </c>
      <c r="J125" s="2">
        <v>5.0807901928276097E-2</v>
      </c>
    </row>
    <row r="126" spans="1:10" x14ac:dyDescent="0.25">
      <c r="A126" t="s">
        <v>7</v>
      </c>
      <c r="B126" t="s">
        <v>241</v>
      </c>
      <c r="C126" t="s">
        <v>242</v>
      </c>
      <c r="D126" t="str">
        <f>_xlfn.LET(_xlpm.x,VLOOKUP(C126,Table1[[#All],[Entry]:[Length]],5,FALSE),IF(C126="NA","NA",IF(_xlpm.x="","NA",_xlpm.x)))</f>
        <v>LOC116292747</v>
      </c>
      <c r="E126" t="str">
        <f>_xlfn.LET(_xlpm.x,VLOOKUP(C126,Table1[[#All],[Entry]:[Length]],4,FALSE),IF(C126="NA","NA",IF(_xlpm.x="","NA",_xlpm.x)))</f>
        <v>Uncharacterized protein LOC116292747</v>
      </c>
      <c r="F126" s="3">
        <v>11885.770927313501</v>
      </c>
      <c r="G126" s="3">
        <v>0.72321861440407398</v>
      </c>
      <c r="H126" s="3">
        <v>0.48187833885452502</v>
      </c>
      <c r="I126" s="2">
        <v>2.3533693921362701E-4</v>
      </c>
      <c r="J126" s="2">
        <v>5.1032628493126501E-2</v>
      </c>
    </row>
    <row r="127" spans="1:10" x14ac:dyDescent="0.25">
      <c r="A127" t="s">
        <v>7</v>
      </c>
      <c r="B127" t="s">
        <v>243</v>
      </c>
      <c r="C127" t="s">
        <v>244</v>
      </c>
      <c r="D127" t="str">
        <f>_xlfn.LET(_xlpm.x,VLOOKUP(C127,Table1[[#All],[Entry]:[Length]],5,FALSE),IF(C127="NA","NA",IF(_xlpm.x="","NA",_xlpm.x)))</f>
        <v>LOC116301850</v>
      </c>
      <c r="E127" t="str">
        <f>_xlfn.LET(_xlpm.x,VLOOKUP(C127,Table1[[#All],[Entry]:[Length]],4,FALSE),IF(C127="NA","NA",IF(_xlpm.x="","NA",_xlpm.x)))</f>
        <v>Fibroblast growth factor receptor 4-like isoform X3</v>
      </c>
      <c r="F127" s="3">
        <v>790.44991168516106</v>
      </c>
      <c r="G127" s="3">
        <v>-0.55396068935876996</v>
      </c>
      <c r="H127" s="3">
        <v>0.32346747711422802</v>
      </c>
      <c r="I127" s="2">
        <v>2.3385868988398399E-4</v>
      </c>
      <c r="J127" s="2">
        <v>5.1032628493126501E-2</v>
      </c>
    </row>
    <row r="128" spans="1:10" x14ac:dyDescent="0.25">
      <c r="A128" t="s">
        <v>7</v>
      </c>
      <c r="B128" t="s">
        <v>245</v>
      </c>
      <c r="C128" t="s">
        <v>246</v>
      </c>
      <c r="D128" t="str">
        <f>_xlfn.LET(_xlpm.x,VLOOKUP(C128,Table1[[#All],[Entry]:[Length]],5,FALSE),IF(C128="NA","NA",IF(_xlpm.x="","NA",_xlpm.x)))</f>
        <v>LOC116304698</v>
      </c>
      <c r="E128" t="str">
        <f>_xlfn.LET(_xlpm.x,VLOOKUP(C128,Table1[[#All],[Entry]:[Length]],4,FALSE),IF(C128="NA","NA",IF(_xlpm.x="","NA",_xlpm.x)))</f>
        <v>Uncharacterized protein LOC116304698</v>
      </c>
      <c r="F128" s="3">
        <v>71.1685288231496</v>
      </c>
      <c r="G128" s="3">
        <v>0.58128818985202402</v>
      </c>
      <c r="H128" s="3">
        <v>0.756827860433128</v>
      </c>
      <c r="I128" s="2">
        <v>2.4089343622592601E-4</v>
      </c>
      <c r="J128" s="2">
        <v>5.1826231165362002E-2</v>
      </c>
    </row>
    <row r="129" spans="1:10" x14ac:dyDescent="0.25">
      <c r="A129" t="s">
        <v>7</v>
      </c>
      <c r="B129" t="s">
        <v>247</v>
      </c>
      <c r="C129" t="s">
        <v>99</v>
      </c>
      <c r="D129" t="str">
        <f>_xlfn.LET(_xlpm.x,VLOOKUP(C129,Table1[[#All],[Entry]:[Length]],5,FALSE),IF(C129="NA","NA",IF(_xlpm.x="","NA",_xlpm.x)))</f>
        <v>LOC116288275</v>
      </c>
      <c r="E129" t="str">
        <f>_xlfn.LET(_xlpm.x,VLOOKUP(C129,Table1[[#All],[Entry]:[Length]],4,FALSE),IF(C129="NA","NA",IF(_xlpm.x="","NA",_xlpm.x)))</f>
        <v>Uncharacterized protein LOC116288275</v>
      </c>
      <c r="F129" s="3">
        <v>285.22554088237399</v>
      </c>
      <c r="G129" s="3">
        <v>0.74828331032626005</v>
      </c>
      <c r="H129" s="3">
        <v>0.59221047429652696</v>
      </c>
      <c r="I129" s="2">
        <v>2.49310235443917E-4</v>
      </c>
      <c r="J129" s="2">
        <v>5.3217996586204297E-2</v>
      </c>
    </row>
    <row r="130" spans="1:10" x14ac:dyDescent="0.25">
      <c r="A130" t="s">
        <v>7</v>
      </c>
      <c r="B130" t="s">
        <v>248</v>
      </c>
      <c r="C130" t="s">
        <v>249</v>
      </c>
      <c r="D130" t="str">
        <f>_xlfn.LET(_xlpm.x,VLOOKUP(C130,Table1[[#All],[Entry]:[Length]],5,FALSE),IF(C130="NA","NA",IF(_xlpm.x="","NA",_xlpm.x)))</f>
        <v>LOC116298426</v>
      </c>
      <c r="E130" t="str">
        <f>_xlfn.LET(_xlpm.x,VLOOKUP(C130,Table1[[#All],[Entry]:[Length]],4,FALSE),IF(C130="NA","NA",IF(_xlpm.x="","NA",_xlpm.x)))</f>
        <v>Krueppel-like factor 12 isoform X2</v>
      </c>
      <c r="F130" s="3">
        <v>145.62583267559401</v>
      </c>
      <c r="G130" s="3">
        <v>0.73072112025009395</v>
      </c>
      <c r="H130" s="3">
        <v>0.64434554753107598</v>
      </c>
      <c r="I130" s="2">
        <v>2.5796218532255698E-4</v>
      </c>
      <c r="J130" s="2">
        <v>5.3803822821131497E-2</v>
      </c>
    </row>
    <row r="131" spans="1:10" x14ac:dyDescent="0.25">
      <c r="A131" t="s">
        <v>7</v>
      </c>
      <c r="B131" t="s">
        <v>250</v>
      </c>
      <c r="C131" t="s">
        <v>251</v>
      </c>
      <c r="D131" t="str">
        <f>_xlfn.LET(_xlpm.x,VLOOKUP(C131,Table1[[#All],[Entry]:[Length]],5,FALSE),IF(C131="NA","NA",IF(_xlpm.x="","NA",_xlpm.x)))</f>
        <v>LOC116308105</v>
      </c>
      <c r="E131" t="str">
        <f>_xlfn.LET(_xlpm.x,VLOOKUP(C131,Table1[[#All],[Entry]:[Length]],4,FALSE),IF(C131="NA","NA",IF(_xlpm.x="","NA",_xlpm.x)))</f>
        <v>Folliculin-interacting protein 1-like</v>
      </c>
      <c r="F131" s="3">
        <v>2360.2835577155802</v>
      </c>
      <c r="G131" s="3">
        <v>0.487979021188644</v>
      </c>
      <c r="H131" s="3">
        <v>0.29232556146183197</v>
      </c>
      <c r="I131" s="2">
        <v>2.5649525552312997E-4</v>
      </c>
      <c r="J131" s="2">
        <v>5.3803822821131497E-2</v>
      </c>
    </row>
    <row r="132" spans="1:10" x14ac:dyDescent="0.25">
      <c r="A132" t="s">
        <v>7</v>
      </c>
      <c r="B132" t="s">
        <v>252</v>
      </c>
      <c r="C132" t="s">
        <v>253</v>
      </c>
      <c r="D132" t="str">
        <f>_xlfn.LET(_xlpm.x,VLOOKUP(C132,Table1[[#All],[Entry]:[Length]],5,FALSE),IF(C132="NA","NA",IF(_xlpm.x="","NA",_xlpm.x)))</f>
        <v>LOC116286442</v>
      </c>
      <c r="E132" t="str">
        <f>_xlfn.LET(_xlpm.x,VLOOKUP(C132,Table1[[#All],[Entry]:[Length]],4,FALSE),IF(C132="NA","NA",IF(_xlpm.x="","NA",_xlpm.x)))</f>
        <v>Leucine-rich repeats and immunoglobulin-like domains protein 1</v>
      </c>
      <c r="F132" s="3">
        <v>1604.64826652281</v>
      </c>
      <c r="G132" s="3">
        <v>-0.46755692509787</v>
      </c>
      <c r="H132" s="3">
        <v>0.280690835687604</v>
      </c>
      <c r="I132" s="2">
        <v>2.5763411918081801E-4</v>
      </c>
      <c r="J132" s="2">
        <v>5.3803822821131497E-2</v>
      </c>
    </row>
    <row r="133" spans="1:10" x14ac:dyDescent="0.25">
      <c r="A133" t="s">
        <v>7</v>
      </c>
      <c r="B133" t="s">
        <v>254</v>
      </c>
      <c r="C133" t="s">
        <v>255</v>
      </c>
      <c r="D133" t="str">
        <f>_xlfn.LET(_xlpm.x,VLOOKUP(C133,Table1[[#All],[Entry]:[Length]],5,FALSE),IF(C133="NA","NA",IF(_xlpm.x="","NA",_xlpm.x)))</f>
        <v>LOC116303329</v>
      </c>
      <c r="E133" t="str">
        <f>_xlfn.LET(_xlpm.x,VLOOKUP(C133,Table1[[#All],[Entry]:[Length]],4,FALSE),IF(C133="NA","NA",IF(_xlpm.x="","NA",_xlpm.x)))</f>
        <v>SMC5-SMC6 complex localization factor protein 1-like</v>
      </c>
      <c r="F133" s="3">
        <v>3753.79087181254</v>
      </c>
      <c r="G133" s="3">
        <v>0.50670164721988897</v>
      </c>
      <c r="H133" s="3">
        <v>0.30659992437733402</v>
      </c>
      <c r="I133" s="2">
        <v>2.6308032156891799E-4</v>
      </c>
      <c r="J133" s="2">
        <v>5.43166198192249E-2</v>
      </c>
    </row>
    <row r="134" spans="1:10" x14ac:dyDescent="0.25">
      <c r="A134" t="s">
        <v>7</v>
      </c>
      <c r="B134" t="s">
        <v>256</v>
      </c>
      <c r="C134" t="s">
        <v>257</v>
      </c>
      <c r="D134" t="str">
        <f>_xlfn.LET(_xlpm.x,VLOOKUP(C134,Table1[[#All],[Entry]:[Length]],5,FALSE),IF(C134="NA","NA",IF(_xlpm.x="","NA",_xlpm.x)))</f>
        <v>LOC116294819</v>
      </c>
      <c r="E134" t="str">
        <f>_xlfn.LET(_xlpm.x,VLOOKUP(C134,Table1[[#All],[Entry]:[Length]],4,FALSE),IF(C134="NA","NA",IF(_xlpm.x="","NA",_xlpm.x)))</f>
        <v>Uncharacterized protein LOC116294819</v>
      </c>
      <c r="F134" s="3">
        <v>569.42907355121201</v>
      </c>
      <c r="G134" s="3">
        <v>0.44156786041236901</v>
      </c>
      <c r="H134" s="3">
        <v>0.26824834303394501</v>
      </c>
      <c r="I134" s="2">
        <v>2.6439667810844003E-4</v>
      </c>
      <c r="J134" s="2">
        <v>5.43166198192249E-2</v>
      </c>
    </row>
    <row r="135" spans="1:10" x14ac:dyDescent="0.25">
      <c r="A135" t="s">
        <v>7</v>
      </c>
      <c r="B135" t="s">
        <v>258</v>
      </c>
      <c r="C135" t="s">
        <v>255</v>
      </c>
      <c r="D135" t="str">
        <f>_xlfn.LET(_xlpm.x,VLOOKUP(C135,Table1[[#All],[Entry]:[Length]],5,FALSE),IF(C135="NA","NA",IF(_xlpm.x="","NA",_xlpm.x)))</f>
        <v>LOC116303329</v>
      </c>
      <c r="E135" t="str">
        <f>_xlfn.LET(_xlpm.x,VLOOKUP(C135,Table1[[#All],[Entry]:[Length]],4,FALSE),IF(C135="NA","NA",IF(_xlpm.x="","NA",_xlpm.x)))</f>
        <v>SMC5-SMC6 complex localization factor protein 1-like</v>
      </c>
      <c r="F135" s="3">
        <v>3989.8825951555</v>
      </c>
      <c r="G135" s="3">
        <v>0.497792339966594</v>
      </c>
      <c r="H135" s="3">
        <v>0.30285454706545401</v>
      </c>
      <c r="I135" s="2">
        <v>2.6757851818684302E-4</v>
      </c>
      <c r="J135" s="2">
        <v>5.4560058600142701E-2</v>
      </c>
    </row>
    <row r="136" spans="1:10" x14ac:dyDescent="0.25">
      <c r="A136" t="s">
        <v>7</v>
      </c>
      <c r="B136" t="s">
        <v>259</v>
      </c>
      <c r="C136" t="s">
        <v>260</v>
      </c>
      <c r="D136" t="str">
        <f>_xlfn.LET(_xlpm.x,VLOOKUP(C136,Table1[[#All],[Entry]:[Length]],5,FALSE),IF(C136="NA","NA",IF(_xlpm.x="","NA",_xlpm.x)))</f>
        <v>LOC116299669</v>
      </c>
      <c r="E136" t="str">
        <f>_xlfn.LET(_xlpm.x,VLOOKUP(C136,Table1[[#All],[Entry]:[Length]],4,FALSE),IF(C136="NA","NA",IF(_xlpm.x="","NA",_xlpm.x)))</f>
        <v>Cuticle collagen 1-like</v>
      </c>
      <c r="F136" s="3">
        <v>315.95158862305101</v>
      </c>
      <c r="G136" s="3">
        <v>0.71986879314678798</v>
      </c>
      <c r="H136" s="3">
        <v>0.54470186464311199</v>
      </c>
      <c r="I136" s="2">
        <v>2.7496660412059602E-4</v>
      </c>
      <c r="J136" s="2">
        <v>5.4621886384512999E-2</v>
      </c>
    </row>
    <row r="137" spans="1:10" x14ac:dyDescent="0.25">
      <c r="A137" t="s">
        <v>7</v>
      </c>
      <c r="B137" t="s">
        <v>261</v>
      </c>
      <c r="C137" t="s">
        <v>262</v>
      </c>
      <c r="D137" t="str">
        <f>_xlfn.LET(_xlpm.x,VLOOKUP(C137,Table1[[#All],[Entry]:[Length]],5,FALSE),IF(C137="NA","NA",IF(_xlpm.x="","NA",_xlpm.x)))</f>
        <v>LOC116294827</v>
      </c>
      <c r="E137" t="str">
        <f>_xlfn.LET(_xlpm.x,VLOOKUP(C137,Table1[[#All],[Entry]:[Length]],4,FALSE),IF(C137="NA","NA",IF(_xlpm.x="","NA",_xlpm.x)))</f>
        <v>Serine/threonine-protein kinase Nek7-like</v>
      </c>
      <c r="F137" s="3">
        <v>177.18873380943199</v>
      </c>
      <c r="G137" s="3">
        <v>0.70864340115390601</v>
      </c>
      <c r="H137" s="3">
        <v>0.50598885312406905</v>
      </c>
      <c r="I137" s="2">
        <v>2.6992960608914401E-4</v>
      </c>
      <c r="J137" s="2">
        <v>5.4621886384512999E-2</v>
      </c>
    </row>
    <row r="138" spans="1:10" x14ac:dyDescent="0.25">
      <c r="A138" t="s">
        <v>7</v>
      </c>
      <c r="B138" t="s">
        <v>263</v>
      </c>
      <c r="C138" t="s">
        <v>264</v>
      </c>
      <c r="D138" t="str">
        <f>_xlfn.LET(_xlpm.x,VLOOKUP(C138,Table1[[#All],[Entry]:[Length]],5,FALSE),IF(C138="NA","NA",IF(_xlpm.x="","NA",_xlpm.x)))</f>
        <v>LOC116293586</v>
      </c>
      <c r="E138" t="str">
        <f>_xlfn.LET(_xlpm.x,VLOOKUP(C138,Table1[[#All],[Entry]:[Length]],4,FALSE),IF(C138="NA","NA",IF(_xlpm.x="","NA",_xlpm.x)))</f>
        <v>Fibrinogen C domain-containing protein 1-like</v>
      </c>
      <c r="F138" s="3">
        <v>5509.4996546926704</v>
      </c>
      <c r="G138" s="3">
        <v>-0.61408593888861396</v>
      </c>
      <c r="H138" s="3">
        <v>0.39328053015461101</v>
      </c>
      <c r="I138" s="2">
        <v>2.7587820960592899E-4</v>
      </c>
      <c r="J138" s="2">
        <v>5.4621886384512999E-2</v>
      </c>
    </row>
    <row r="139" spans="1:10" x14ac:dyDescent="0.25">
      <c r="A139" t="s">
        <v>7</v>
      </c>
      <c r="B139" t="s">
        <v>265</v>
      </c>
      <c r="C139" t="s">
        <v>83</v>
      </c>
      <c r="D139" t="str">
        <f>_xlfn.LET(_xlpm.x,VLOOKUP(C139,Table1[[#All],[Entry]:[Length]],5,FALSE),IF(C139="NA","NA",IF(_xlpm.x="","NA",_xlpm.x)))</f>
        <v>NA</v>
      </c>
      <c r="E139" t="str">
        <f>_xlfn.LET(_xlpm.x,VLOOKUP(C139,Table1[[#All],[Entry]:[Length]],4,FALSE),IF(C139="NA","NA",IF(_xlpm.x="","NA",_xlpm.x)))</f>
        <v>NA</v>
      </c>
      <c r="F139" s="3">
        <v>845.80406595919203</v>
      </c>
      <c r="G139" s="3">
        <v>0.60128040492294399</v>
      </c>
      <c r="H139" s="3">
        <v>0.38070678358187698</v>
      </c>
      <c r="I139" s="2">
        <v>2.73773629467112E-4</v>
      </c>
      <c r="J139" s="2">
        <v>5.4621886384512999E-2</v>
      </c>
    </row>
    <row r="140" spans="1:10" x14ac:dyDescent="0.25">
      <c r="A140" t="s">
        <v>7</v>
      </c>
      <c r="B140" t="s">
        <v>266</v>
      </c>
      <c r="C140" t="s">
        <v>267</v>
      </c>
      <c r="D140" t="str">
        <f>_xlfn.LET(_xlpm.x,VLOOKUP(C140,Table1[[#All],[Entry]:[Length]],5,FALSE),IF(C140="NA","NA",IF(_xlpm.x="","NA",_xlpm.x)))</f>
        <v>NA</v>
      </c>
      <c r="E140" t="str">
        <f>_xlfn.LET(_xlpm.x,VLOOKUP(C140,Table1[[#All],[Entry]:[Length]],4,FALSE),IF(C140="NA","NA",IF(_xlpm.x="","NA",_xlpm.x)))</f>
        <v>Uncharacterized protein</v>
      </c>
      <c r="F140" s="3">
        <v>17534.3798059933</v>
      </c>
      <c r="G140" s="3">
        <v>-0.71488011157130404</v>
      </c>
      <c r="H140" s="3">
        <v>0.59020303282557396</v>
      </c>
      <c r="I140" s="2">
        <v>2.8936508325812102E-4</v>
      </c>
      <c r="J140" s="2">
        <v>5.5678325139870699E-2</v>
      </c>
    </row>
    <row r="141" spans="1:10" x14ac:dyDescent="0.25">
      <c r="A141" t="s">
        <v>7</v>
      </c>
      <c r="B141" t="s">
        <v>268</v>
      </c>
      <c r="C141" t="s">
        <v>269</v>
      </c>
      <c r="D141" t="str">
        <f>_xlfn.LET(_xlpm.x,VLOOKUP(C141,Table1[[#All],[Entry]:[Length]],5,FALSE),IF(C141="NA","NA",IF(_xlpm.x="","NA",_xlpm.x)))</f>
        <v>LOC116296498</v>
      </c>
      <c r="E141" t="str">
        <f>_xlfn.LET(_xlpm.x,VLOOKUP(C141,Table1[[#All],[Entry]:[Length]],4,FALSE),IF(C141="NA","NA",IF(_xlpm.x="","NA",_xlpm.x)))</f>
        <v>Leucine-rich repeat extensin-like protein 3</v>
      </c>
      <c r="F141" s="3">
        <v>140.54913629045899</v>
      </c>
      <c r="G141" s="3">
        <v>0.71260288631175095</v>
      </c>
      <c r="H141" s="3">
        <v>0.558552335464502</v>
      </c>
      <c r="I141" s="2">
        <v>2.8870464014980099E-4</v>
      </c>
      <c r="J141" s="2">
        <v>5.5678325139870699E-2</v>
      </c>
    </row>
    <row r="142" spans="1:10" x14ac:dyDescent="0.25">
      <c r="A142" t="s">
        <v>7</v>
      </c>
      <c r="B142" t="s">
        <v>270</v>
      </c>
      <c r="C142" t="s">
        <v>83</v>
      </c>
      <c r="D142" t="str">
        <f>_xlfn.LET(_xlpm.x,VLOOKUP(C142,Table1[[#All],[Entry]:[Length]],5,FALSE),IF(C142="NA","NA",IF(_xlpm.x="","NA",_xlpm.x)))</f>
        <v>NA</v>
      </c>
      <c r="E142" t="str">
        <f>_xlfn.LET(_xlpm.x,VLOOKUP(C142,Table1[[#All],[Entry]:[Length]],4,FALSE),IF(C142="NA","NA",IF(_xlpm.x="","NA",_xlpm.x)))</f>
        <v>NA</v>
      </c>
      <c r="F142" s="3">
        <v>1742.30869884512</v>
      </c>
      <c r="G142" s="3">
        <v>0.62324289381356901</v>
      </c>
      <c r="H142" s="3">
        <v>0.40915279702520102</v>
      </c>
      <c r="I142" s="2">
        <v>2.8687010424971199E-4</v>
      </c>
      <c r="J142" s="2">
        <v>5.5678325139870699E-2</v>
      </c>
    </row>
    <row r="143" spans="1:10" x14ac:dyDescent="0.25">
      <c r="A143" t="s">
        <v>7</v>
      </c>
      <c r="B143" t="s">
        <v>271</v>
      </c>
      <c r="C143" t="s">
        <v>272</v>
      </c>
      <c r="D143" t="str">
        <f>_xlfn.LET(_xlpm.x,VLOOKUP(C143,Table1[[#All],[Entry]:[Length]],5,FALSE),IF(C143="NA","NA",IF(_xlpm.x="","NA",_xlpm.x)))</f>
        <v>LOC116291170</v>
      </c>
      <c r="E143" t="str">
        <f>_xlfn.LET(_xlpm.x,VLOOKUP(C143,Table1[[#All],[Entry]:[Length]],4,FALSE),IF(C143="NA","NA",IF(_xlpm.x="","NA",_xlpm.x)))</f>
        <v>Uncharacterized protein LOC116291170</v>
      </c>
      <c r="F143" s="3">
        <v>136.20303441704201</v>
      </c>
      <c r="G143" s="3">
        <v>0.59876765830930301</v>
      </c>
      <c r="H143" s="3">
        <v>0.38552008966659101</v>
      </c>
      <c r="I143" s="2">
        <v>2.8555133232482103E-4</v>
      </c>
      <c r="J143" s="2">
        <v>5.5678325139870699E-2</v>
      </c>
    </row>
    <row r="144" spans="1:10" x14ac:dyDescent="0.25">
      <c r="A144" t="s">
        <v>7</v>
      </c>
      <c r="B144" t="s">
        <v>273</v>
      </c>
      <c r="C144" t="s">
        <v>274</v>
      </c>
      <c r="D144" t="str">
        <f>_xlfn.LET(_xlpm.x,VLOOKUP(C144,Table1[[#All],[Entry]:[Length]],5,FALSE),IF(C144="NA","NA",IF(_xlpm.x="","NA",_xlpm.x)))</f>
        <v>LOC116297293</v>
      </c>
      <c r="E144" t="str">
        <f>_xlfn.LET(_xlpm.x,VLOOKUP(C144,Table1[[#All],[Entry]:[Length]],4,FALSE),IF(C144="NA","NA",IF(_xlpm.x="","NA",_xlpm.x)))</f>
        <v>Fibropellin-3-like isoform X1</v>
      </c>
      <c r="F144" s="3">
        <v>45.127034845301203</v>
      </c>
      <c r="G144" s="3">
        <v>-0.55809618824266205</v>
      </c>
      <c r="H144" s="3">
        <v>0.73336353971794599</v>
      </c>
      <c r="I144" s="2">
        <v>2.9200779879168102E-4</v>
      </c>
      <c r="J144" s="2">
        <v>5.5793909695000803E-2</v>
      </c>
    </row>
    <row r="145" spans="1:10" x14ac:dyDescent="0.25">
      <c r="A145" t="s">
        <v>7</v>
      </c>
      <c r="B145" t="s">
        <v>275</v>
      </c>
      <c r="C145" t="s">
        <v>276</v>
      </c>
      <c r="D145" t="str">
        <f>_xlfn.LET(_xlpm.x,VLOOKUP(C145,Table1[[#All],[Entry]:[Length]],5,FALSE),IF(C145="NA","NA",IF(_xlpm.x="","NA",_xlpm.x)))</f>
        <v>LOC116304158</v>
      </c>
      <c r="E145" t="str">
        <f>_xlfn.LET(_xlpm.x,VLOOKUP(C145,Table1[[#All],[Entry]:[Length]],4,FALSE),IF(C145="NA","NA",IF(_xlpm.x="","NA",_xlpm.x)))</f>
        <v>Gamma-butyrobetaine dioxygenase-like</v>
      </c>
      <c r="F145" s="3">
        <v>1030.02188325783</v>
      </c>
      <c r="G145" s="3">
        <v>-0.67487941154369602</v>
      </c>
      <c r="H145" s="3">
        <v>0.48119529818513401</v>
      </c>
      <c r="I145" s="2">
        <v>2.97197754882214E-4</v>
      </c>
      <c r="J145" s="2">
        <v>5.6218281019475902E-2</v>
      </c>
    </row>
    <row r="146" spans="1:10" x14ac:dyDescent="0.25">
      <c r="A146" t="s">
        <v>7</v>
      </c>
      <c r="B146" t="s">
        <v>277</v>
      </c>
      <c r="C146" t="s">
        <v>278</v>
      </c>
      <c r="D146" t="str">
        <f>_xlfn.LET(_xlpm.x,VLOOKUP(C146,Table1[[#All],[Entry]:[Length]],5,FALSE),IF(C146="NA","NA",IF(_xlpm.x="","NA",_xlpm.x)))</f>
        <v>LOC116291466</v>
      </c>
      <c r="E146" t="str">
        <f>_xlfn.LET(_xlpm.x,VLOOKUP(C146,Table1[[#All],[Entry]:[Length]],4,FALSE),IF(C146="NA","NA",IF(_xlpm.x="","NA",_xlpm.x)))</f>
        <v>SPRY domain-containing SOCS box protein 3</v>
      </c>
      <c r="F146" s="3">
        <v>81.095762219428806</v>
      </c>
      <c r="G146" s="3">
        <v>-0.61357436015297495</v>
      </c>
      <c r="H146" s="3">
        <v>0.71506589167357903</v>
      </c>
      <c r="I146" s="2">
        <v>2.9834391347304499E-4</v>
      </c>
      <c r="J146" s="2">
        <v>5.6218281019475902E-2</v>
      </c>
    </row>
    <row r="147" spans="1:10" x14ac:dyDescent="0.25">
      <c r="A147" t="s">
        <v>7</v>
      </c>
      <c r="B147" t="s">
        <v>279</v>
      </c>
      <c r="C147" t="s">
        <v>280</v>
      </c>
      <c r="D147" t="str">
        <f>_xlfn.LET(_xlpm.x,VLOOKUP(C147,Table1[[#All],[Entry]:[Length]],5,FALSE),IF(C147="NA","NA",IF(_xlpm.x="","NA",_xlpm.x)))</f>
        <v>KTx</v>
      </c>
      <c r="E147" t="str">
        <f>_xlfn.LET(_xlpm.x,VLOOKUP(C147,Table1[[#All],[Entry]:[Length]],4,FALSE),IF(C147="NA","NA",IF(_xlpm.x="","NA",_xlpm.x)))</f>
        <v>Type III potassium channel toxin protein</v>
      </c>
      <c r="F147" s="3">
        <v>16025.16656023</v>
      </c>
      <c r="G147" s="3">
        <v>0.49200654911666802</v>
      </c>
      <c r="H147" s="3">
        <v>0.31279520833326702</v>
      </c>
      <c r="I147" s="2">
        <v>3.02227576227658E-4</v>
      </c>
      <c r="J147" s="2">
        <v>5.65600278443033E-2</v>
      </c>
    </row>
    <row r="148" spans="1:10" x14ac:dyDescent="0.25">
      <c r="A148" t="s">
        <v>7</v>
      </c>
      <c r="B148" t="s">
        <v>281</v>
      </c>
      <c r="C148" t="s">
        <v>110</v>
      </c>
      <c r="D148" t="str">
        <f>_xlfn.LET(_xlpm.x,VLOOKUP(C148,Table1[[#All],[Entry]:[Length]],5,FALSE),IF(C148="NA","NA",IF(_xlpm.x="","NA",_xlpm.x)))</f>
        <v>LOC116295161</v>
      </c>
      <c r="E148" t="str">
        <f>_xlfn.LET(_xlpm.x,VLOOKUP(C148,Table1[[#All],[Entry]:[Length]],4,FALSE),IF(C148="NA","NA",IF(_xlpm.x="","NA",_xlpm.x)))</f>
        <v>Neural retina-specific leucine zipper protein</v>
      </c>
      <c r="F148" s="3">
        <v>1591.13709008307</v>
      </c>
      <c r="G148" s="3">
        <v>0.69111970697698599</v>
      </c>
      <c r="H148" s="3">
        <v>0.52457243180639401</v>
      </c>
      <c r="I148" s="2">
        <v>3.0510443982678399E-4</v>
      </c>
      <c r="J148" s="2">
        <v>5.6709990540049E-2</v>
      </c>
    </row>
    <row r="149" spans="1:10" x14ac:dyDescent="0.25">
      <c r="A149" t="s">
        <v>7</v>
      </c>
      <c r="B149" t="s">
        <v>282</v>
      </c>
      <c r="C149" t="s">
        <v>283</v>
      </c>
      <c r="D149" t="str">
        <f>_xlfn.LET(_xlpm.x,VLOOKUP(C149,Table1[[#All],[Entry]:[Length]],5,FALSE),IF(C149="NA","NA",IF(_xlpm.x="","NA",_xlpm.x)))</f>
        <v>LOC116295731</v>
      </c>
      <c r="E149" t="str">
        <f>_xlfn.LET(_xlpm.x,VLOOKUP(C149,Table1[[#All],[Entry]:[Length]],4,FALSE),IF(C149="NA","NA",IF(_xlpm.x="","NA",_xlpm.x)))</f>
        <v>Myrosinase 1-like</v>
      </c>
      <c r="F149" s="3">
        <v>2082.0960130254398</v>
      </c>
      <c r="G149" s="3">
        <v>0.65823897822218602</v>
      </c>
      <c r="H149" s="3">
        <v>0.47360044284545899</v>
      </c>
      <c r="I149" s="2">
        <v>3.1490384281582598E-4</v>
      </c>
      <c r="J149" s="2">
        <v>5.7745756357428402E-2</v>
      </c>
    </row>
    <row r="150" spans="1:10" x14ac:dyDescent="0.25">
      <c r="A150" t="s">
        <v>7</v>
      </c>
      <c r="B150" t="s">
        <v>284</v>
      </c>
      <c r="C150" t="s">
        <v>285</v>
      </c>
      <c r="D150" t="str">
        <f>_xlfn.LET(_xlpm.x,VLOOKUP(C150,Table1[[#All],[Entry]:[Length]],5,FALSE),IF(C150="NA","NA",IF(_xlpm.x="","NA",_xlpm.x)))</f>
        <v>NA</v>
      </c>
      <c r="E150" t="str">
        <f>_xlfn.LET(_xlpm.x,VLOOKUP(C150,Table1[[#All],[Entry]:[Length]],4,FALSE),IF(C150="NA","NA",IF(_xlpm.x="","NA",_xlpm.x)))</f>
        <v>Green fluorescent protein as(S)FP499 (Green fluorescent protein asFP499)</v>
      </c>
      <c r="F150" s="3">
        <v>208.187582643144</v>
      </c>
      <c r="G150" s="3">
        <v>-0.656307927578067</v>
      </c>
      <c r="H150" s="3">
        <v>0.67844340066067199</v>
      </c>
      <c r="I150" s="2">
        <v>3.1282294853677601E-4</v>
      </c>
      <c r="J150" s="2">
        <v>5.7745756357428402E-2</v>
      </c>
    </row>
    <row r="151" spans="1:10" x14ac:dyDescent="0.25">
      <c r="A151" t="s">
        <v>7</v>
      </c>
      <c r="B151" t="s">
        <v>286</v>
      </c>
      <c r="C151" t="s">
        <v>287</v>
      </c>
      <c r="D151" t="str">
        <f>_xlfn.LET(_xlpm.x,VLOOKUP(C151,Table1[[#All],[Entry]:[Length]],5,FALSE),IF(C151="NA","NA",IF(_xlpm.x="","NA",_xlpm.x)))</f>
        <v>LOC116308748</v>
      </c>
      <c r="E151" t="str">
        <f>_xlfn.LET(_xlpm.x,VLOOKUP(C151,Table1[[#All],[Entry]:[Length]],4,FALSE),IF(C151="NA","NA",IF(_xlpm.x="","NA",_xlpm.x)))</f>
        <v>Uncharacterized protein LOC116308748</v>
      </c>
      <c r="F151" s="3">
        <v>139.88598572681599</v>
      </c>
      <c r="G151" s="3">
        <v>-0.210208335424314</v>
      </c>
      <c r="H151" s="3">
        <v>0.68905563325260799</v>
      </c>
      <c r="I151" s="2">
        <v>3.1795499525514703E-4</v>
      </c>
      <c r="J151" s="2">
        <v>5.79165622357092E-2</v>
      </c>
    </row>
    <row r="152" spans="1:10" x14ac:dyDescent="0.25">
      <c r="A152" t="s">
        <v>7</v>
      </c>
      <c r="B152" t="s">
        <v>288</v>
      </c>
      <c r="C152" t="s">
        <v>289</v>
      </c>
      <c r="D152" t="str">
        <f>_xlfn.LET(_xlpm.x,VLOOKUP(C152,Table1[[#All],[Entry]:[Length]],5,FALSE),IF(C152="NA","NA",IF(_xlpm.x="","NA",_xlpm.x)))</f>
        <v>LOC116297518</v>
      </c>
      <c r="E152" t="str">
        <f>_xlfn.LET(_xlpm.x,VLOOKUP(C152,Table1[[#All],[Entry]:[Length]],4,FALSE),IF(C152="NA","NA",IF(_xlpm.x="","NA",_xlpm.x)))</f>
        <v>Uncharacterized protein LOC116297518</v>
      </c>
      <c r="F152" s="3">
        <v>18781.5853248239</v>
      </c>
      <c r="G152" s="3">
        <v>0.547933656434478</v>
      </c>
      <c r="H152" s="3">
        <v>0.36305339037073298</v>
      </c>
      <c r="I152" s="2">
        <v>3.2471938482256602E-4</v>
      </c>
      <c r="J152" s="2">
        <v>5.8757004976867297E-2</v>
      </c>
    </row>
    <row r="153" spans="1:10" x14ac:dyDescent="0.25">
      <c r="A153" t="s">
        <v>7</v>
      </c>
      <c r="B153" t="s">
        <v>290</v>
      </c>
      <c r="C153" t="s">
        <v>291</v>
      </c>
      <c r="D153" t="str">
        <f>_xlfn.LET(_xlpm.x,VLOOKUP(C153,Table1[[#All],[Entry]:[Length]],5,FALSE),IF(C153="NA","NA",IF(_xlpm.x="","NA",_xlpm.x)))</f>
        <v>LOC116289548</v>
      </c>
      <c r="E153" t="str">
        <f>_xlfn.LET(_xlpm.x,VLOOKUP(C153,Table1[[#All],[Entry]:[Length]],4,FALSE),IF(C153="NA","NA",IF(_xlpm.x="","NA",_xlpm.x)))</f>
        <v>Protein lethal(2)essential for life-like</v>
      </c>
      <c r="F153" s="3">
        <v>118.110628609749</v>
      </c>
      <c r="G153" s="3">
        <v>0.66744890257634704</v>
      </c>
      <c r="H153" s="3">
        <v>0.64816379951795899</v>
      </c>
      <c r="I153" s="2">
        <v>3.2929696677490701E-4</v>
      </c>
      <c r="J153" s="2">
        <v>5.91932962052025E-2</v>
      </c>
    </row>
    <row r="154" spans="1:10" x14ac:dyDescent="0.25">
      <c r="A154" t="s">
        <v>7</v>
      </c>
      <c r="B154" t="s">
        <v>292</v>
      </c>
      <c r="C154" t="s">
        <v>293</v>
      </c>
      <c r="D154" t="str">
        <f>_xlfn.LET(_xlpm.x,VLOOKUP(C154,Table1[[#All],[Entry]:[Length]],5,FALSE),IF(C154="NA","NA",IF(_xlpm.x="","NA",_xlpm.x)))</f>
        <v>LOC116308500</v>
      </c>
      <c r="E154" t="str">
        <f>_xlfn.LET(_xlpm.x,VLOOKUP(C154,Table1[[#All],[Entry]:[Length]],4,FALSE),IF(C154="NA","NA",IF(_xlpm.x="","NA",_xlpm.x)))</f>
        <v>Transporter</v>
      </c>
      <c r="F154" s="3">
        <v>510.610865302082</v>
      </c>
      <c r="G154" s="3">
        <v>0.61686543896872004</v>
      </c>
      <c r="H154" s="3">
        <v>0.43331359033677003</v>
      </c>
      <c r="I154" s="2">
        <v>3.3253075394921701E-4</v>
      </c>
      <c r="J154" s="2">
        <v>5.9383907125192599E-2</v>
      </c>
    </row>
    <row r="155" spans="1:10" x14ac:dyDescent="0.25">
      <c r="A155" t="s">
        <v>7</v>
      </c>
      <c r="B155" t="s">
        <v>294</v>
      </c>
      <c r="C155" t="s">
        <v>295</v>
      </c>
      <c r="D155" t="str">
        <f>_xlfn.LET(_xlpm.x,VLOOKUP(C155,Table1[[#All],[Entry]:[Length]],5,FALSE),IF(C155="NA","NA",IF(_xlpm.x="","NA",_xlpm.x)))</f>
        <v>NEMVEDRAFT_v1g202038</v>
      </c>
      <c r="E155" t="str">
        <f>_xlfn.LET(_xlpm.x,VLOOKUP(C155,Table1[[#All],[Entry]:[Length]],4,FALSE),IF(C155="NA","NA",IF(_xlpm.x="","NA",_xlpm.x)))</f>
        <v>Uncharacterized protein</v>
      </c>
      <c r="F155" s="3">
        <v>33.983242180391798</v>
      </c>
      <c r="G155" s="3">
        <v>0.66209286534915501</v>
      </c>
      <c r="H155" s="3">
        <v>0.64937753047031199</v>
      </c>
      <c r="I155" s="2">
        <v>3.3510598016822202E-4</v>
      </c>
      <c r="J155" s="2">
        <v>5.9455199325560502E-2</v>
      </c>
    </row>
    <row r="156" spans="1:10" x14ac:dyDescent="0.25">
      <c r="A156" t="s">
        <v>7</v>
      </c>
      <c r="B156" t="s">
        <v>296</v>
      </c>
      <c r="C156" t="s">
        <v>297</v>
      </c>
      <c r="D156" t="str">
        <f>_xlfn.LET(_xlpm.x,VLOOKUP(C156,Table1[[#All],[Entry]:[Length]],5,FALSE),IF(C156="NA","NA",IF(_xlpm.x="","NA",_xlpm.x)))</f>
        <v>LOC116302296</v>
      </c>
      <c r="E156" t="str">
        <f>_xlfn.LET(_xlpm.x,VLOOKUP(C156,Table1[[#All],[Entry]:[Length]],4,FALSE),IF(C156="NA","NA",IF(_xlpm.x="","NA",_xlpm.x)))</f>
        <v>Sestrin-1-like</v>
      </c>
      <c r="F156" s="3">
        <v>804.60126176414201</v>
      </c>
      <c r="G156" s="3">
        <v>0.495912198520849</v>
      </c>
      <c r="H156" s="3">
        <v>0.330142511636491</v>
      </c>
      <c r="I156" s="2">
        <v>3.4120304909673101E-4</v>
      </c>
      <c r="J156" s="2">
        <v>6.01463929707741E-2</v>
      </c>
    </row>
    <row r="157" spans="1:10" x14ac:dyDescent="0.25">
      <c r="A157" t="s">
        <v>7</v>
      </c>
      <c r="B157" t="s">
        <v>298</v>
      </c>
      <c r="C157" t="s">
        <v>299</v>
      </c>
      <c r="D157" t="str">
        <f>_xlfn.LET(_xlpm.x,VLOOKUP(C157,Table1[[#All],[Entry]:[Length]],5,FALSE),IF(C157="NA","NA",IF(_xlpm.x="","NA",_xlpm.x)))</f>
        <v>LOC116288075</v>
      </c>
      <c r="E157" t="str">
        <f>_xlfn.LET(_xlpm.x,VLOOKUP(C157,Table1[[#All],[Entry]:[Length]],4,FALSE),IF(C157="NA","NA",IF(_xlpm.x="","NA",_xlpm.x)))</f>
        <v>Titin-like isoform X3</v>
      </c>
      <c r="F157" s="3">
        <v>451.38312855612702</v>
      </c>
      <c r="G157" s="3">
        <v>-0.49697836415927399</v>
      </c>
      <c r="H157" s="3">
        <v>0.33202681771467801</v>
      </c>
      <c r="I157" s="2">
        <v>3.4420050299816403E-4</v>
      </c>
      <c r="J157" s="2">
        <v>6.0285835534736203E-2</v>
      </c>
    </row>
    <row r="158" spans="1:10" x14ac:dyDescent="0.25">
      <c r="A158" t="s">
        <v>7</v>
      </c>
      <c r="B158" t="s">
        <v>300</v>
      </c>
      <c r="C158" t="s">
        <v>301</v>
      </c>
      <c r="D158" t="str">
        <f>_xlfn.LET(_xlpm.x,VLOOKUP(C158,Table1[[#All],[Entry]:[Length]],5,FALSE),IF(C158="NA","NA",IF(_xlpm.x="","NA",_xlpm.x)))</f>
        <v>LOC116297843</v>
      </c>
      <c r="E158" t="str">
        <f>_xlfn.LET(_xlpm.x,VLOOKUP(C158,Table1[[#All],[Entry]:[Length]],4,FALSE),IF(C158="NA","NA",IF(_xlpm.x="","NA",_xlpm.x)))</f>
        <v>Rhophilin-2-B-like</v>
      </c>
      <c r="F158" s="3">
        <v>1022.62564098761</v>
      </c>
      <c r="G158" s="3">
        <v>-0.52255566155713395</v>
      </c>
      <c r="H158" s="3">
        <v>0.35368664347532303</v>
      </c>
      <c r="I158" s="2">
        <v>3.4999680667951397E-4</v>
      </c>
      <c r="J158" s="2">
        <v>6.0910590757352598E-2</v>
      </c>
    </row>
    <row r="159" spans="1:10" x14ac:dyDescent="0.25">
      <c r="A159" t="s">
        <v>7</v>
      </c>
      <c r="B159" t="s">
        <v>302</v>
      </c>
      <c r="C159" t="s">
        <v>303</v>
      </c>
      <c r="D159" t="str">
        <f>_xlfn.LET(_xlpm.x,VLOOKUP(C159,Table1[[#All],[Entry]:[Length]],5,FALSE),IF(C159="NA","NA",IF(_xlpm.x="","NA",_xlpm.x)))</f>
        <v>PACLA_8A078053</v>
      </c>
      <c r="E159" t="str">
        <f>_xlfn.LET(_xlpm.x,VLOOKUP(C159,Table1[[#All],[Entry]:[Length]],4,FALSE),IF(C159="NA","NA",IF(_xlpm.x="","NA",_xlpm.x)))</f>
        <v>Transport Sec24C, partial</v>
      </c>
      <c r="F159" s="3">
        <v>46.792533597814298</v>
      </c>
      <c r="G159" s="3">
        <v>-0.66994761534079506</v>
      </c>
      <c r="H159" s="3">
        <v>0.57669564404261497</v>
      </c>
      <c r="I159" s="2">
        <v>3.5353031993305001E-4</v>
      </c>
      <c r="J159" s="2">
        <v>6.1078377922118503E-2</v>
      </c>
    </row>
    <row r="160" spans="1:10" x14ac:dyDescent="0.25">
      <c r="A160" t="s">
        <v>7</v>
      </c>
      <c r="B160" t="s">
        <v>304</v>
      </c>
      <c r="C160" t="s">
        <v>305</v>
      </c>
      <c r="D160" t="str">
        <f>_xlfn.LET(_xlpm.x,VLOOKUP(C160,Table1[[#All],[Entry]:[Length]],5,FALSE),IF(C160="NA","NA",IF(_xlpm.x="","NA",_xlpm.x)))</f>
        <v>LOC116295342</v>
      </c>
      <c r="E160" t="str">
        <f>_xlfn.LET(_xlpm.x,VLOOKUP(C160,Table1[[#All],[Entry]:[Length]],4,FALSE),IF(C160="NA","NA",IF(_xlpm.x="","NA",_xlpm.x)))</f>
        <v>Fibrinogen-like protein A</v>
      </c>
      <c r="F160" s="3">
        <v>23.5542540981569</v>
      </c>
      <c r="G160" s="3">
        <v>-0.64409421371507003</v>
      </c>
      <c r="H160" s="3">
        <v>0.65251338408673898</v>
      </c>
      <c r="I160" s="2">
        <v>3.5543176406751999E-4</v>
      </c>
      <c r="J160" s="2">
        <v>6.1078377922118503E-2</v>
      </c>
    </row>
    <row r="161" spans="1:10" x14ac:dyDescent="0.25">
      <c r="A161" t="s">
        <v>7</v>
      </c>
      <c r="B161" t="s">
        <v>306</v>
      </c>
      <c r="C161" t="s">
        <v>194</v>
      </c>
      <c r="D161" t="str">
        <f>_xlfn.LET(_xlpm.x,VLOOKUP(C161,Table1[[#All],[Entry]:[Length]],5,FALSE),IF(C161="NA","NA",IF(_xlpm.x="","NA",_xlpm.x)))</f>
        <v>LOC116305302</v>
      </c>
      <c r="E161" t="str">
        <f>_xlfn.LET(_xlpm.x,VLOOKUP(C161,Table1[[#All],[Entry]:[Length]],4,FALSE),IF(C161="NA","NA",IF(_xlpm.x="","NA",_xlpm.x)))</f>
        <v>Frizzled-9-like</v>
      </c>
      <c r="F161" s="3">
        <v>51.8089889282247</v>
      </c>
      <c r="G161" s="3">
        <v>0.64789256233713</v>
      </c>
      <c r="H161" s="3">
        <v>0.64105551567124497</v>
      </c>
      <c r="I161" s="2">
        <v>3.6104833634904003E-4</v>
      </c>
      <c r="J161" s="2">
        <v>6.1655773087905201E-2</v>
      </c>
    </row>
    <row r="162" spans="1:10" x14ac:dyDescent="0.25">
      <c r="A162" t="s">
        <v>7</v>
      </c>
      <c r="B162" t="s">
        <v>307</v>
      </c>
      <c r="C162" t="s">
        <v>154</v>
      </c>
      <c r="D162" t="str">
        <f>_xlfn.LET(_xlpm.x,VLOOKUP(C162,Table1[[#All],[Entry]:[Length]],5,FALSE),IF(C162="NA","NA",IF(_xlpm.x="","NA",_xlpm.x)))</f>
        <v>LOC116304503</v>
      </c>
      <c r="E162" t="str">
        <f>_xlfn.LET(_xlpm.x,VLOOKUP(C162,Table1[[#All],[Entry]:[Length]],4,FALSE),IF(C162="NA","NA",IF(_xlpm.x="","NA",_xlpm.x)))</f>
        <v>Uncharacterized protein LOC116304503</v>
      </c>
      <c r="F162" s="3">
        <v>40.248581513891303</v>
      </c>
      <c r="G162" s="3">
        <v>0.61612754046498996</v>
      </c>
      <c r="H162" s="3">
        <v>0.66208198222854497</v>
      </c>
      <c r="I162" s="2">
        <v>3.80164107373008E-4</v>
      </c>
      <c r="J162" s="2">
        <v>6.3878777947399296E-2</v>
      </c>
    </row>
    <row r="163" spans="1:10" x14ac:dyDescent="0.25">
      <c r="A163" t="s">
        <v>7</v>
      </c>
      <c r="B163" t="s">
        <v>308</v>
      </c>
      <c r="C163" t="s">
        <v>309</v>
      </c>
      <c r="D163" t="str">
        <f>_xlfn.LET(_xlpm.x,VLOOKUP(C163,Table1[[#All],[Entry]:[Length]],5,FALSE),IF(C163="NA","NA",IF(_xlpm.x="","NA",_xlpm.x)))</f>
        <v>LOC116307079</v>
      </c>
      <c r="E163" t="str">
        <f>_xlfn.LET(_xlpm.x,VLOOKUP(C163,Table1[[#All],[Entry]:[Length]],4,FALSE),IF(C163="NA","NA",IF(_xlpm.x="","NA",_xlpm.x)))</f>
        <v>Ectonucleoside triphosphate diphosphohydrolase 1-like</v>
      </c>
      <c r="F163" s="3">
        <v>122.130549708578</v>
      </c>
      <c r="G163" s="3">
        <v>0.606730143262602</v>
      </c>
      <c r="H163" s="3">
        <v>0.45444870813254601</v>
      </c>
      <c r="I163" s="2">
        <v>3.8107970594100502E-4</v>
      </c>
      <c r="J163" s="2">
        <v>6.3878777947399296E-2</v>
      </c>
    </row>
    <row r="164" spans="1:10" x14ac:dyDescent="0.25">
      <c r="A164" t="s">
        <v>7</v>
      </c>
      <c r="B164" t="s">
        <v>310</v>
      </c>
      <c r="C164" t="s">
        <v>311</v>
      </c>
      <c r="D164" t="str">
        <f>_xlfn.LET(_xlpm.x,VLOOKUP(C164,Table1[[#All],[Entry]:[Length]],5,FALSE),IF(C164="NA","NA",IF(_xlpm.x="","NA",_xlpm.x)))</f>
        <v>LOC116292428</v>
      </c>
      <c r="E164" t="str">
        <f>_xlfn.LET(_xlpm.x,VLOOKUP(C164,Table1[[#All],[Entry]:[Length]],4,FALSE),IF(C164="NA","NA",IF(_xlpm.x="","NA",_xlpm.x)))</f>
        <v>Pre-rRNA-processing protein TSR1 homolog</v>
      </c>
      <c r="F164" s="3">
        <v>491.40776419926198</v>
      </c>
      <c r="G164" s="3">
        <v>0.49018094864489697</v>
      </c>
      <c r="H164" s="3">
        <v>0.33938377641106998</v>
      </c>
      <c r="I164" s="2">
        <v>3.7861554415752899E-4</v>
      </c>
      <c r="J164" s="2">
        <v>6.3878777947399296E-2</v>
      </c>
    </row>
    <row r="165" spans="1:10" x14ac:dyDescent="0.25">
      <c r="A165" t="s">
        <v>7</v>
      </c>
      <c r="B165" t="s">
        <v>312</v>
      </c>
      <c r="C165" t="s">
        <v>313</v>
      </c>
      <c r="D165" t="str">
        <f>_xlfn.LET(_xlpm.x,VLOOKUP(C165,Table1[[#All],[Entry]:[Length]],5,FALSE),IF(C165="NA","NA",IF(_xlpm.x="","NA",_xlpm.x)))</f>
        <v>LOC116304267</v>
      </c>
      <c r="E165" t="str">
        <f>_xlfn.LET(_xlpm.x,VLOOKUP(C165,Table1[[#All],[Entry]:[Length]],4,FALSE),IF(C165="NA","NA",IF(_xlpm.x="","NA",_xlpm.x)))</f>
        <v>Uncharacterized protein LOC116304267</v>
      </c>
      <c r="F165" s="3">
        <v>3341.40937890847</v>
      </c>
      <c r="G165" s="3">
        <v>0.64784105857940799</v>
      </c>
      <c r="H165" s="3">
        <v>0.58663426616509595</v>
      </c>
      <c r="I165" s="2">
        <v>3.8924805614610998E-4</v>
      </c>
      <c r="J165" s="2">
        <v>6.4333857914670597E-2</v>
      </c>
    </row>
    <row r="166" spans="1:10" x14ac:dyDescent="0.25">
      <c r="A166" t="s">
        <v>7</v>
      </c>
      <c r="B166" t="s">
        <v>314</v>
      </c>
      <c r="C166" t="s">
        <v>315</v>
      </c>
      <c r="D166" t="str">
        <f>_xlfn.LET(_xlpm.x,VLOOKUP(C166,Table1[[#All],[Entry]:[Length]],5,FALSE),IF(C166="NA","NA",IF(_xlpm.x="","NA",_xlpm.x)))</f>
        <v>NA</v>
      </c>
      <c r="E166" t="str">
        <f>_xlfn.LET(_xlpm.x,VLOOKUP(C166,Table1[[#All],[Entry]:[Length]],4,FALSE),IF(C166="NA","NA",IF(_xlpm.x="","NA",_xlpm.x)))</f>
        <v>Uncharacterized protein</v>
      </c>
      <c r="F166" s="3">
        <v>150.80579634723301</v>
      </c>
      <c r="G166" s="3">
        <v>-0.525882418588562</v>
      </c>
      <c r="H166" s="3">
        <v>0.37222819440225002</v>
      </c>
      <c r="I166" s="2">
        <v>3.8862864700300398E-4</v>
      </c>
      <c r="J166" s="2">
        <v>6.4333857914670597E-2</v>
      </c>
    </row>
    <row r="167" spans="1:10" x14ac:dyDescent="0.25">
      <c r="A167" t="s">
        <v>7</v>
      </c>
      <c r="B167" t="s">
        <v>316</v>
      </c>
      <c r="C167" t="s">
        <v>317</v>
      </c>
      <c r="D167" t="str">
        <f>_xlfn.LET(_xlpm.x,VLOOKUP(C167,Table1[[#All],[Entry]:[Length]],5,FALSE),IF(C167="NA","NA",IF(_xlpm.x="","NA",_xlpm.x)))</f>
        <v>LOC116287602</v>
      </c>
      <c r="E167" t="str">
        <f>_xlfn.LET(_xlpm.x,VLOOKUP(C167,Table1[[#All],[Entry]:[Length]],4,FALSE),IF(C167="NA","NA",IF(_xlpm.x="","NA",_xlpm.x)))</f>
        <v>GFP-like non-fluorescent chromoprotein FP595</v>
      </c>
      <c r="F167" s="3">
        <v>2777.6887906934198</v>
      </c>
      <c r="G167" s="3">
        <v>0.237299341319166</v>
      </c>
      <c r="H167" s="3">
        <v>0.65080675064950499</v>
      </c>
      <c r="I167" s="2">
        <v>3.9085826643616502E-4</v>
      </c>
      <c r="J167" s="2">
        <v>6.4333857914670597E-2</v>
      </c>
    </row>
    <row r="168" spans="1:10" x14ac:dyDescent="0.25">
      <c r="A168" t="s">
        <v>7</v>
      </c>
      <c r="B168" t="s">
        <v>318</v>
      </c>
      <c r="C168" t="s">
        <v>319</v>
      </c>
      <c r="D168" t="str">
        <f>_xlfn.LET(_xlpm.x,VLOOKUP(C168,Table1[[#All],[Entry]:[Length]],5,FALSE),IF(C168="NA","NA",IF(_xlpm.x="","NA",_xlpm.x)))</f>
        <v>LOC116299675</v>
      </c>
      <c r="E168" t="str">
        <f>_xlfn.LET(_xlpm.x,VLOOKUP(C168,Table1[[#All],[Entry]:[Length]],4,FALSE),IF(C168="NA","NA",IF(_xlpm.x="","NA",_xlpm.x)))</f>
        <v>Collagen alpha-1(XV) chain-like</v>
      </c>
      <c r="F168" s="3">
        <v>161.04425194699499</v>
      </c>
      <c r="G168" s="3">
        <v>0.63546923054609095</v>
      </c>
      <c r="H168" s="3">
        <v>0.53663044082927902</v>
      </c>
      <c r="I168" s="2">
        <v>4.0390901247815998E-4</v>
      </c>
      <c r="J168" s="2">
        <v>6.5969081275010596E-2</v>
      </c>
    </row>
    <row r="169" spans="1:10" x14ac:dyDescent="0.25">
      <c r="A169" t="s">
        <v>7</v>
      </c>
      <c r="B169" t="s">
        <v>320</v>
      </c>
      <c r="C169" t="s">
        <v>321</v>
      </c>
      <c r="D169" t="str">
        <f>_xlfn.LET(_xlpm.x,VLOOKUP(C169,Table1[[#All],[Entry]:[Length]],5,FALSE),IF(C169="NA","NA",IF(_xlpm.x="","NA",_xlpm.x)))</f>
        <v>LOC116290855</v>
      </c>
      <c r="E169" t="str">
        <f>_xlfn.LET(_xlpm.x,VLOOKUP(C169,Table1[[#All],[Entry]:[Length]],4,FALSE),IF(C169="NA","NA",IF(_xlpm.x="","NA",_xlpm.x)))</f>
        <v>Uncharacterized protein LOC116290855 isoform X2</v>
      </c>
      <c r="F169" s="3">
        <v>1146.7228553008199</v>
      </c>
      <c r="G169" s="3">
        <v>0.61846595046369501</v>
      </c>
      <c r="H169" s="3">
        <v>0.49393445598032698</v>
      </c>
      <c r="I169" s="2">
        <v>4.0562184438757798E-4</v>
      </c>
      <c r="J169" s="2">
        <v>6.5969081275010596E-2</v>
      </c>
    </row>
    <row r="170" spans="1:10" x14ac:dyDescent="0.25">
      <c r="A170" t="s">
        <v>7</v>
      </c>
      <c r="B170" t="s">
        <v>322</v>
      </c>
      <c r="C170" t="s">
        <v>83</v>
      </c>
      <c r="D170" t="str">
        <f>_xlfn.LET(_xlpm.x,VLOOKUP(C170,Table1[[#All],[Entry]:[Length]],5,FALSE),IF(C170="NA","NA",IF(_xlpm.x="","NA",_xlpm.x)))</f>
        <v>NA</v>
      </c>
      <c r="E170" t="str">
        <f>_xlfn.LET(_xlpm.x,VLOOKUP(C170,Table1[[#All],[Entry]:[Length]],4,FALSE),IF(C170="NA","NA",IF(_xlpm.x="","NA",_xlpm.x)))</f>
        <v>NA</v>
      </c>
      <c r="F170" s="3">
        <v>238.330513447698</v>
      </c>
      <c r="G170" s="3">
        <v>0.59943603510499399</v>
      </c>
      <c r="H170" s="3">
        <v>0.47070980601201901</v>
      </c>
      <c r="I170" s="2">
        <v>4.1780476683393801E-4</v>
      </c>
      <c r="J170" s="2">
        <v>6.7494911081769096E-2</v>
      </c>
    </row>
    <row r="171" spans="1:10" x14ac:dyDescent="0.25">
      <c r="A171" t="s">
        <v>7</v>
      </c>
      <c r="B171" t="s">
        <v>323</v>
      </c>
      <c r="C171" t="s">
        <v>324</v>
      </c>
      <c r="D171" t="str">
        <f>_xlfn.LET(_xlpm.x,VLOOKUP(C171,Table1[[#All],[Entry]:[Length]],5,FALSE),IF(C171="NA","NA",IF(_xlpm.x="","NA",_xlpm.x)))</f>
        <v>LOC116297289</v>
      </c>
      <c r="E171" t="str">
        <f>_xlfn.LET(_xlpm.x,VLOOKUP(C171,Table1[[#All],[Entry]:[Length]],4,FALSE),IF(C171="NA","NA",IF(_xlpm.x="","NA",_xlpm.x)))</f>
        <v>Uncharacterized protein LOC116297289</v>
      </c>
      <c r="F171" s="3">
        <v>545.054491795373</v>
      </c>
      <c r="G171" s="3">
        <v>-0.47171803623332498</v>
      </c>
      <c r="H171" s="3">
        <v>0.33893738689855502</v>
      </c>
      <c r="I171" s="2">
        <v>4.1994418196760098E-4</v>
      </c>
      <c r="J171" s="2">
        <v>6.7494911081769096E-2</v>
      </c>
    </row>
    <row r="172" spans="1:10" x14ac:dyDescent="0.25">
      <c r="A172" t="s">
        <v>7</v>
      </c>
      <c r="B172" t="s">
        <v>325</v>
      </c>
      <c r="C172" t="s">
        <v>326</v>
      </c>
      <c r="D172" t="str">
        <f>_xlfn.LET(_xlpm.x,VLOOKUP(C172,Table1[[#All],[Entry]:[Length]],5,FALSE),IF(C172="NA","NA",IF(_xlpm.x="","NA",_xlpm.x)))</f>
        <v>LOC116290334</v>
      </c>
      <c r="E172" t="str">
        <f>_xlfn.LET(_xlpm.x,VLOOKUP(C172,Table1[[#All],[Entry]:[Length]],4,FALSE),IF(C172="NA","NA",IF(_xlpm.x="","NA",_xlpm.x)))</f>
        <v>Uncharacterized protein LOC116290334</v>
      </c>
      <c r="F172" s="3">
        <v>807.90028637960495</v>
      </c>
      <c r="G172" s="3">
        <v>0.62558464905966105</v>
      </c>
      <c r="H172" s="3">
        <v>0.55356113411838603</v>
      </c>
      <c r="I172" s="2">
        <v>4.29135604971845E-4</v>
      </c>
      <c r="J172" s="2">
        <v>6.8568842892665099E-2</v>
      </c>
    </row>
    <row r="173" spans="1:10" x14ac:dyDescent="0.25">
      <c r="A173" t="s">
        <v>7</v>
      </c>
      <c r="B173" t="s">
        <v>327</v>
      </c>
      <c r="C173" t="s">
        <v>55</v>
      </c>
      <c r="D173" t="str">
        <f>_xlfn.LET(_xlpm.x,VLOOKUP(C173,Table1[[#All],[Entry]:[Length]],5,FALSE),IF(C173="NA","NA",IF(_xlpm.x="","NA",_xlpm.x)))</f>
        <v>LOC116303300</v>
      </c>
      <c r="E173" t="str">
        <f>_xlfn.LET(_xlpm.x,VLOOKUP(C173,Table1[[#All],[Entry]:[Length]],4,FALSE),IF(C173="NA","NA",IF(_xlpm.x="","NA",_xlpm.x)))</f>
        <v>Uncharacterized protein LOC116303300</v>
      </c>
      <c r="F173" s="3">
        <v>307.47663839753199</v>
      </c>
      <c r="G173" s="3">
        <v>-0.320002078837406</v>
      </c>
      <c r="H173" s="3">
        <v>0.65810795480513795</v>
      </c>
      <c r="I173" s="2">
        <v>4.5024463273706699E-4</v>
      </c>
      <c r="J173" s="2">
        <v>7.1523454071365594E-2</v>
      </c>
    </row>
    <row r="174" spans="1:10" x14ac:dyDescent="0.25">
      <c r="A174" t="s">
        <v>7</v>
      </c>
      <c r="B174" t="s">
        <v>328</v>
      </c>
      <c r="C174" t="s">
        <v>329</v>
      </c>
      <c r="D174" t="str">
        <f>_xlfn.LET(_xlpm.x,VLOOKUP(C174,Table1[[#All],[Entry]:[Length]],5,FALSE),IF(C174="NA","NA",IF(_xlpm.x="","NA",_xlpm.x)))</f>
        <v>LOC116307236</v>
      </c>
      <c r="E174" t="str">
        <f>_xlfn.LET(_xlpm.x,VLOOKUP(C174,Table1[[#All],[Entry]:[Length]],4,FALSE),IF(C174="NA","NA",IF(_xlpm.x="","NA",_xlpm.x)))</f>
        <v>Uncharacterized protein LOC116307236</v>
      </c>
      <c r="F174" s="3">
        <v>398.25933339262201</v>
      </c>
      <c r="G174" s="3">
        <v>0.49413283559655302</v>
      </c>
      <c r="H174" s="3">
        <v>0.36892759890662602</v>
      </c>
      <c r="I174" s="2">
        <v>4.5437003241246399E-4</v>
      </c>
      <c r="J174" s="2">
        <v>7.1761574541073694E-2</v>
      </c>
    </row>
    <row r="175" spans="1:10" x14ac:dyDescent="0.25">
      <c r="A175" t="s">
        <v>7</v>
      </c>
      <c r="B175" t="s">
        <v>330</v>
      </c>
      <c r="C175" t="s">
        <v>331</v>
      </c>
      <c r="D175" t="str">
        <f>_xlfn.LET(_xlpm.x,VLOOKUP(C175,Table1[[#All],[Entry]:[Length]],5,FALSE),IF(C175="NA","NA",IF(_xlpm.x="","NA",_xlpm.x)))</f>
        <v>LOC116291103</v>
      </c>
      <c r="E175" t="str">
        <f>_xlfn.LET(_xlpm.x,VLOOKUP(C175,Table1[[#All],[Entry]:[Length]],4,FALSE),IF(C175="NA","NA",IF(_xlpm.x="","NA",_xlpm.x)))</f>
        <v>Basic proline-rich protein-like</v>
      </c>
      <c r="F175" s="3">
        <v>473.34533183292001</v>
      </c>
      <c r="G175" s="3">
        <v>0.60135627456804697</v>
      </c>
      <c r="H175" s="3">
        <v>0.55060883676175598</v>
      </c>
      <c r="I175" s="2">
        <v>4.7900759063985499E-4</v>
      </c>
      <c r="J175" s="2">
        <v>7.5217956316395093E-2</v>
      </c>
    </row>
    <row r="176" spans="1:10" x14ac:dyDescent="0.25">
      <c r="A176" t="s">
        <v>7</v>
      </c>
      <c r="B176" t="s">
        <v>332</v>
      </c>
      <c r="C176" t="s">
        <v>333</v>
      </c>
      <c r="D176" t="str">
        <f>_xlfn.LET(_xlpm.x,VLOOKUP(C176,Table1[[#All],[Entry]:[Length]],5,FALSE),IF(C176="NA","NA",IF(_xlpm.x="","NA",_xlpm.x)))</f>
        <v>LOC116287790</v>
      </c>
      <c r="E176" t="str">
        <f>_xlfn.LET(_xlpm.x,VLOOKUP(C176,Table1[[#All],[Entry]:[Length]],4,FALSE),IF(C176="NA","NA",IF(_xlpm.x="","NA",_xlpm.x)))</f>
        <v>Uncharacterized protein LOC116287790</v>
      </c>
      <c r="F176" s="3">
        <v>94.163049205273694</v>
      </c>
      <c r="G176" s="3">
        <v>-0.59131042208887596</v>
      </c>
      <c r="H176" s="3">
        <v>0.59533869354374003</v>
      </c>
      <c r="I176" s="2">
        <v>4.9228402021351798E-4</v>
      </c>
      <c r="J176" s="2">
        <v>7.6861007338822604E-2</v>
      </c>
    </row>
    <row r="177" spans="1:10" x14ac:dyDescent="0.25">
      <c r="A177" t="s">
        <v>7</v>
      </c>
      <c r="B177" t="s">
        <v>334</v>
      </c>
      <c r="C177" t="s">
        <v>335</v>
      </c>
      <c r="D177" t="str">
        <f>_xlfn.LET(_xlpm.x,VLOOKUP(C177,Table1[[#All],[Entry]:[Length]],5,FALSE),IF(C177="NA","NA",IF(_xlpm.x="","NA",_xlpm.x)))</f>
        <v>LOC116304369</v>
      </c>
      <c r="E177" t="str">
        <f>_xlfn.LET(_xlpm.x,VLOOKUP(C177,Table1[[#All],[Entry]:[Length]],4,FALSE),IF(C177="NA","NA",IF(_xlpm.x="","NA",_xlpm.x)))</f>
        <v>Uncharacterized protein LOC116304369</v>
      </c>
      <c r="F177" s="3">
        <v>92.449997109315703</v>
      </c>
      <c r="G177" s="3">
        <v>0.58440464078479903</v>
      </c>
      <c r="H177" s="3">
        <v>0.60304881003159805</v>
      </c>
      <c r="I177" s="2">
        <v>5.0069284540936996E-4</v>
      </c>
      <c r="J177" s="2">
        <v>7.7729719404092207E-2</v>
      </c>
    </row>
    <row r="178" spans="1:10" x14ac:dyDescent="0.25">
      <c r="A178" t="s">
        <v>7</v>
      </c>
      <c r="B178" t="s">
        <v>336</v>
      </c>
      <c r="C178" t="s">
        <v>337</v>
      </c>
      <c r="D178" t="str">
        <f>_xlfn.LET(_xlpm.x,VLOOKUP(C178,Table1[[#All],[Entry]:[Length]],5,FALSE),IF(C178="NA","NA",IF(_xlpm.x="","NA",_xlpm.x)))</f>
        <v>LOC116289533</v>
      </c>
      <c r="E178" t="str">
        <f>_xlfn.LET(_xlpm.x,VLOOKUP(C178,Table1[[#All],[Entry]:[Length]],4,FALSE),IF(C178="NA","NA",IF(_xlpm.x="","NA",_xlpm.x)))</f>
        <v>Heme-binding protein 1</v>
      </c>
      <c r="F178" s="3">
        <v>567.44748124078797</v>
      </c>
      <c r="G178" s="3">
        <v>-0.41414231303004401</v>
      </c>
      <c r="H178" s="3">
        <v>0.66704675679278702</v>
      </c>
      <c r="I178" s="2">
        <v>5.1706540358138796E-4</v>
      </c>
      <c r="J178" s="2">
        <v>7.9817954926860293E-2</v>
      </c>
    </row>
    <row r="179" spans="1:10" x14ac:dyDescent="0.25">
      <c r="A179" t="s">
        <v>7</v>
      </c>
      <c r="B179" t="s">
        <v>338</v>
      </c>
      <c r="C179" t="s">
        <v>339</v>
      </c>
      <c r="D179" t="str">
        <f>_xlfn.LET(_xlpm.x,VLOOKUP(C179,Table1[[#All],[Entry]:[Length]],5,FALSE),IF(C179="NA","NA",IF(_xlpm.x="","NA",_xlpm.x)))</f>
        <v>LOC116297038</v>
      </c>
      <c r="E179" t="str">
        <f>_xlfn.LET(_xlpm.x,VLOOKUP(C179,Table1[[#All],[Entry]:[Length]],4,FALSE),IF(C179="NA","NA",IF(_xlpm.x="","NA",_xlpm.x)))</f>
        <v>Transcription factor A, mitochondrial-like</v>
      </c>
      <c r="F179" s="3">
        <v>687.85943760549003</v>
      </c>
      <c r="G179" s="3">
        <v>0.58022445032623504</v>
      </c>
      <c r="H179" s="3">
        <v>0.56424560952117697</v>
      </c>
      <c r="I179" s="2">
        <v>5.2840780716630097E-4</v>
      </c>
      <c r="J179" s="2">
        <v>8.1110598400027198E-2</v>
      </c>
    </row>
    <row r="180" spans="1:10" x14ac:dyDescent="0.25">
      <c r="A180" t="s">
        <v>7</v>
      </c>
      <c r="B180" t="s">
        <v>340</v>
      </c>
      <c r="C180" t="s">
        <v>341</v>
      </c>
      <c r="D180" t="str">
        <f>_xlfn.LET(_xlpm.x,VLOOKUP(C180,Table1[[#All],[Entry]:[Length]],5,FALSE),IF(C180="NA","NA",IF(_xlpm.x="","NA",_xlpm.x)))</f>
        <v>LOC116289530</v>
      </c>
      <c r="E180" t="str">
        <f>_xlfn.LET(_xlpm.x,VLOOKUP(C180,Table1[[#All],[Entry]:[Length]],4,FALSE),IF(C180="NA","NA",IF(_xlpm.x="","NA",_xlpm.x)))</f>
        <v>Uncharacterized protein LOC116289530</v>
      </c>
      <c r="F180" s="3">
        <v>156.60961169987499</v>
      </c>
      <c r="G180" s="3">
        <v>0.572453596793155</v>
      </c>
      <c r="H180" s="3">
        <v>0.53329755012312996</v>
      </c>
      <c r="I180" s="2">
        <v>5.4179891366278098E-4</v>
      </c>
      <c r="J180" s="2">
        <v>8.21838215032374E-2</v>
      </c>
    </row>
    <row r="181" spans="1:10" x14ac:dyDescent="0.25">
      <c r="A181" t="s">
        <v>7</v>
      </c>
      <c r="B181" t="s">
        <v>342</v>
      </c>
      <c r="C181" t="s">
        <v>343</v>
      </c>
      <c r="D181" t="str">
        <f>_xlfn.LET(_xlpm.x,VLOOKUP(C181,Table1[[#All],[Entry]:[Length]],5,FALSE),IF(C181="NA","NA",IF(_xlpm.x="","NA",_xlpm.x)))</f>
        <v>LOC116290363</v>
      </c>
      <c r="E181" t="str">
        <f>_xlfn.LET(_xlpm.x,VLOOKUP(C181,Table1[[#All],[Entry]:[Length]],4,FALSE),IF(C181="NA","NA",IF(_xlpm.x="","NA",_xlpm.x)))</f>
        <v>T-box transcription factor TBX10-like isoform X1</v>
      </c>
      <c r="F181" s="3">
        <v>772.93619909946506</v>
      </c>
      <c r="G181" s="3">
        <v>0.56467236662348397</v>
      </c>
      <c r="H181" s="3">
        <v>0.505047131077621</v>
      </c>
      <c r="I181" s="2">
        <v>5.4135587144338803E-4</v>
      </c>
      <c r="J181" s="2">
        <v>8.21838215032374E-2</v>
      </c>
    </row>
    <row r="182" spans="1:10" x14ac:dyDescent="0.25">
      <c r="A182" t="s">
        <v>7</v>
      </c>
      <c r="B182" t="s">
        <v>344</v>
      </c>
      <c r="C182" t="s">
        <v>83</v>
      </c>
      <c r="D182" t="str">
        <f>_xlfn.LET(_xlpm.x,VLOOKUP(C182,Table1[[#All],[Entry]:[Length]],5,FALSE),IF(C182="NA","NA",IF(_xlpm.x="","NA",_xlpm.x)))</f>
        <v>NA</v>
      </c>
      <c r="E182" t="str">
        <f>_xlfn.LET(_xlpm.x,VLOOKUP(C182,Table1[[#All],[Entry]:[Length]],4,FALSE),IF(C182="NA","NA",IF(_xlpm.x="","NA",_xlpm.x)))</f>
        <v>NA</v>
      </c>
      <c r="F182" s="3">
        <v>16789.5587090351</v>
      </c>
      <c r="G182" s="3">
        <v>-0.467995140505094</v>
      </c>
      <c r="H182" s="3">
        <v>0.37376220828981399</v>
      </c>
      <c r="I182" s="2">
        <v>5.444230755073E-4</v>
      </c>
      <c r="J182" s="2">
        <v>8.21838215032374E-2</v>
      </c>
    </row>
    <row r="183" spans="1:10" x14ac:dyDescent="0.25">
      <c r="A183" t="s">
        <v>7</v>
      </c>
      <c r="B183" t="s">
        <v>345</v>
      </c>
      <c r="C183" t="s">
        <v>346</v>
      </c>
      <c r="D183" t="str">
        <f>_xlfn.LET(_xlpm.x,VLOOKUP(C183,Table1[[#All],[Entry]:[Length]],5,FALSE),IF(C183="NA","NA",IF(_xlpm.x="","NA",_xlpm.x)))</f>
        <v>LOC116294439</v>
      </c>
      <c r="E183" t="str">
        <f>_xlfn.LET(_xlpm.x,VLOOKUP(C183,Table1[[#All],[Entry]:[Length]],4,FALSE),IF(C183="NA","NA",IF(_xlpm.x="","NA",_xlpm.x)))</f>
        <v>Extracellular tyrosine-protein kinase PKDCC-like</v>
      </c>
      <c r="F183" s="3">
        <v>371.39219822694901</v>
      </c>
      <c r="G183" s="3">
        <v>-0.54570060888419503</v>
      </c>
      <c r="H183" s="3">
        <v>0.62024567605259795</v>
      </c>
      <c r="I183" s="2">
        <v>5.5724421097978402E-4</v>
      </c>
      <c r="J183" s="2">
        <v>8.2860581269845607E-2</v>
      </c>
    </row>
    <row r="184" spans="1:10" x14ac:dyDescent="0.25">
      <c r="A184" t="s">
        <v>7</v>
      </c>
      <c r="B184" t="s">
        <v>347</v>
      </c>
      <c r="C184" t="s">
        <v>348</v>
      </c>
      <c r="D184" t="str">
        <f>_xlfn.LET(_xlpm.x,VLOOKUP(C184,Table1[[#All],[Entry]:[Length]],5,FALSE),IF(C184="NA","NA",IF(_xlpm.x="","NA",_xlpm.x)))</f>
        <v>NA</v>
      </c>
      <c r="E184" t="str">
        <f>_xlfn.LET(_xlpm.x,VLOOKUP(C184,Table1[[#All],[Entry]:[Length]],4,FALSE),IF(C184="NA","NA",IF(_xlpm.x="","NA",_xlpm.x)))</f>
        <v>Uncharacterized protein</v>
      </c>
      <c r="F184" s="3">
        <v>162.36877745629499</v>
      </c>
      <c r="G184" s="3">
        <v>0.54095138413622501</v>
      </c>
      <c r="H184" s="3">
        <v>0.62328665923770699</v>
      </c>
      <c r="I184" s="2">
        <v>5.6103676517664297E-4</v>
      </c>
      <c r="J184" s="2">
        <v>8.2860581269845607E-2</v>
      </c>
    </row>
    <row r="185" spans="1:10" x14ac:dyDescent="0.25">
      <c r="A185" t="s">
        <v>7</v>
      </c>
      <c r="B185" t="s">
        <v>349</v>
      </c>
      <c r="C185" t="s">
        <v>350</v>
      </c>
      <c r="D185" t="str">
        <f>_xlfn.LET(_xlpm.x,VLOOKUP(C185,Table1[[#All],[Entry]:[Length]],5,FALSE),IF(C185="NA","NA",IF(_xlpm.x="","NA",_xlpm.x)))</f>
        <v>pdam_00023890</v>
      </c>
      <c r="E185" t="str">
        <f>_xlfn.LET(_xlpm.x,VLOOKUP(C185,Table1[[#All],[Entry]:[Length]],4,FALSE),IF(C185="NA","NA",IF(_xlpm.x="","NA",_xlpm.x)))</f>
        <v>GIY-YIG domain-containing protein</v>
      </c>
      <c r="F185" s="3">
        <v>698.12561805388702</v>
      </c>
      <c r="G185" s="3">
        <v>0.47526790282042602</v>
      </c>
      <c r="H185" s="3">
        <v>0.38559782809474602</v>
      </c>
      <c r="I185" s="2">
        <v>5.5987544852297499E-4</v>
      </c>
      <c r="J185" s="2">
        <v>8.2860581269845607E-2</v>
      </c>
    </row>
    <row r="186" spans="1:10" x14ac:dyDescent="0.25">
      <c r="A186" t="s">
        <v>7</v>
      </c>
      <c r="B186" t="s">
        <v>351</v>
      </c>
      <c r="C186" t="s">
        <v>352</v>
      </c>
      <c r="D186" t="str">
        <f>_xlfn.LET(_xlpm.x,VLOOKUP(C186,Table1[[#All],[Entry]:[Length]],5,FALSE),IF(C186="NA","NA",IF(_xlpm.x="","NA",_xlpm.x)))</f>
        <v>LOC116298396</v>
      </c>
      <c r="E186" t="str">
        <f>_xlfn.LET(_xlpm.x,VLOOKUP(C186,Table1[[#All],[Entry]:[Length]],4,FALSE),IF(C186="NA","NA",IF(_xlpm.x="","NA",_xlpm.x)))</f>
        <v>Uncharacterized protein LOC116298396</v>
      </c>
      <c r="F186" s="3">
        <v>262.92126130255201</v>
      </c>
      <c r="G186" s="3">
        <v>-0.409320000048774</v>
      </c>
      <c r="H186" s="3">
        <v>0.326132024425068</v>
      </c>
      <c r="I186" s="2">
        <v>5.5749721123673395E-4</v>
      </c>
      <c r="J186" s="2">
        <v>8.2860581269845607E-2</v>
      </c>
    </row>
    <row r="187" spans="1:10" x14ac:dyDescent="0.25">
      <c r="A187" t="s">
        <v>7</v>
      </c>
      <c r="B187" t="s">
        <v>353</v>
      </c>
      <c r="C187" t="s">
        <v>75</v>
      </c>
      <c r="D187" t="str">
        <f>_xlfn.LET(_xlpm.x,VLOOKUP(C187,Table1[[#All],[Entry]:[Length]],5,FALSE),IF(C187="NA","NA",IF(_xlpm.x="","NA",_xlpm.x)))</f>
        <v>LOC116297422</v>
      </c>
      <c r="E187" t="str">
        <f>_xlfn.LET(_xlpm.x,VLOOKUP(C187,Table1[[#All],[Entry]:[Length]],4,FALSE),IF(C187="NA","NA",IF(_xlpm.x="","NA",_xlpm.x)))</f>
        <v>Uncharacterized protein LOC116297422</v>
      </c>
      <c r="F187" s="3">
        <v>526.11131102156196</v>
      </c>
      <c r="G187" s="3">
        <v>0.51995781359350601</v>
      </c>
      <c r="H187" s="3">
        <v>0.44657538873644598</v>
      </c>
      <c r="I187" s="2">
        <v>5.8055052671487201E-4</v>
      </c>
      <c r="J187" s="2">
        <v>8.4455979561690098E-2</v>
      </c>
    </row>
    <row r="188" spans="1:10" x14ac:dyDescent="0.25">
      <c r="A188" t="s">
        <v>7</v>
      </c>
      <c r="B188" t="s">
        <v>354</v>
      </c>
      <c r="C188" t="s">
        <v>355</v>
      </c>
      <c r="D188" t="str">
        <f>_xlfn.LET(_xlpm.x,VLOOKUP(C188,Table1[[#All],[Entry]:[Length]],5,FALSE),IF(C188="NA","NA",IF(_xlpm.x="","NA",_xlpm.x)))</f>
        <v>LOC116308172</v>
      </c>
      <c r="E188" t="str">
        <f>_xlfn.LET(_xlpm.x,VLOOKUP(C188,Table1[[#All],[Entry]:[Length]],4,FALSE),IF(C188="NA","NA",IF(_xlpm.x="","NA",_xlpm.x)))</f>
        <v>Vegetative cell wall protein gp1-like</v>
      </c>
      <c r="F188" s="3">
        <v>26.3414202511863</v>
      </c>
      <c r="G188" s="3">
        <v>0.48073007794339401</v>
      </c>
      <c r="H188" s="3">
        <v>0.64965213568555902</v>
      </c>
      <c r="I188" s="2">
        <v>5.8111203592569401E-4</v>
      </c>
      <c r="J188" s="2">
        <v>8.4455979561690098E-2</v>
      </c>
    </row>
    <row r="189" spans="1:10" x14ac:dyDescent="0.25">
      <c r="A189" t="s">
        <v>7</v>
      </c>
      <c r="B189" t="s">
        <v>356</v>
      </c>
      <c r="C189" t="s">
        <v>357</v>
      </c>
      <c r="D189" t="str">
        <f>_xlfn.LET(_xlpm.x,VLOOKUP(C189,Table1[[#All],[Entry]:[Length]],5,FALSE),IF(C189="NA","NA",IF(_xlpm.x="","NA",_xlpm.x)))</f>
        <v>LOC116287535</v>
      </c>
      <c r="E189" t="str">
        <f>_xlfn.LET(_xlpm.x,VLOOKUP(C189,Table1[[#All],[Entry]:[Length]],4,FALSE),IF(C189="NA","NA",IF(_xlpm.x="","NA",_xlpm.x)))</f>
        <v>Uncharacterized protein LOC116287535</v>
      </c>
      <c r="F189" s="3">
        <v>42.080508515770703</v>
      </c>
      <c r="G189" s="3">
        <v>-0.16682792014235601</v>
      </c>
      <c r="H189" s="3">
        <v>0.569501190398635</v>
      </c>
      <c r="I189" s="2">
        <v>5.8056961096212504E-4</v>
      </c>
      <c r="J189" s="2">
        <v>8.4455979561690098E-2</v>
      </c>
    </row>
    <row r="190" spans="1:10" x14ac:dyDescent="0.25">
      <c r="A190" t="s">
        <v>7</v>
      </c>
      <c r="B190" t="s">
        <v>358</v>
      </c>
      <c r="C190" t="s">
        <v>359</v>
      </c>
      <c r="D190" t="str">
        <f>_xlfn.LET(_xlpm.x,VLOOKUP(C190,Table1[[#All],[Entry]:[Length]],5,FALSE),IF(C190="NA","NA",IF(_xlpm.x="","NA",_xlpm.x)))</f>
        <v>LOC116293843</v>
      </c>
      <c r="E190" t="str">
        <f>_xlfn.LET(_xlpm.x,VLOOKUP(C190,Table1[[#All],[Entry]:[Length]],4,FALSE),IF(C190="NA","NA",IF(_xlpm.x="","NA",_xlpm.x)))</f>
        <v>Arginine kinase</v>
      </c>
      <c r="F190" s="3">
        <v>103.03016390187599</v>
      </c>
      <c r="G190" s="3">
        <v>-0.55414072371614598</v>
      </c>
      <c r="H190" s="3">
        <v>0.54964726757572002</v>
      </c>
      <c r="I190" s="2">
        <v>5.9508780671414297E-4</v>
      </c>
      <c r="J190" s="2">
        <v>8.5381034291737004E-2</v>
      </c>
    </row>
    <row r="191" spans="1:10" x14ac:dyDescent="0.25">
      <c r="A191" t="s">
        <v>7</v>
      </c>
      <c r="B191" t="s">
        <v>360</v>
      </c>
      <c r="C191" t="s">
        <v>361</v>
      </c>
      <c r="D191" t="str">
        <f>_xlfn.LET(_xlpm.x,VLOOKUP(C191,Table1[[#All],[Entry]:[Length]],5,FALSE),IF(C191="NA","NA",IF(_xlpm.x="","NA",_xlpm.x)))</f>
        <v>KTx</v>
      </c>
      <c r="E191" t="str">
        <f>_xlfn.LET(_xlpm.x,VLOOKUP(C191,Table1[[#All],[Entry]:[Length]],4,FALSE),IF(C191="NA","NA",IF(_xlpm.x="","NA",_xlpm.x)))</f>
        <v>Type III potassium channel toxin protein</v>
      </c>
      <c r="F191" s="3">
        <v>1024.0107218154001</v>
      </c>
      <c r="G191" s="3">
        <v>0.55402205849892305</v>
      </c>
      <c r="H191" s="3">
        <v>0.53988283214359201</v>
      </c>
      <c r="I191" s="2">
        <v>5.9367241095072002E-4</v>
      </c>
      <c r="J191" s="2">
        <v>8.5381034291737004E-2</v>
      </c>
    </row>
    <row r="192" spans="1:10" x14ac:dyDescent="0.25">
      <c r="A192" t="s">
        <v>7</v>
      </c>
      <c r="B192" t="s">
        <v>362</v>
      </c>
      <c r="C192" t="s">
        <v>363</v>
      </c>
      <c r="D192" t="str">
        <f>_xlfn.LET(_xlpm.x,VLOOKUP(C192,Table1[[#All],[Entry]:[Length]],5,FALSE),IF(C192="NA","NA",IF(_xlpm.x="","NA",_xlpm.x)))</f>
        <v>LOC116296293</v>
      </c>
      <c r="E192" t="str">
        <f>_xlfn.LET(_xlpm.x,VLOOKUP(C192,Table1[[#All],[Entry]:[Length]],4,FALSE),IF(C192="NA","NA",IF(_xlpm.x="","NA",_xlpm.x)))</f>
        <v>Polycystic kidney disease protein 1-like 2</v>
      </c>
      <c r="F192" s="3">
        <v>370.75488465366902</v>
      </c>
      <c r="G192" s="3">
        <v>-0.54368795780141699</v>
      </c>
      <c r="H192" s="3">
        <v>0.50145977213639004</v>
      </c>
      <c r="I192" s="2">
        <v>5.9685164695391299E-4</v>
      </c>
      <c r="J192" s="2">
        <v>8.5381034291737004E-2</v>
      </c>
    </row>
    <row r="193" spans="1:10" x14ac:dyDescent="0.25">
      <c r="A193" t="s">
        <v>7</v>
      </c>
      <c r="B193" t="s">
        <v>364</v>
      </c>
      <c r="C193" t="s">
        <v>365</v>
      </c>
      <c r="D193" t="str">
        <f>_xlfn.LET(_xlpm.x,VLOOKUP(C193,Table1[[#All],[Entry]:[Length]],5,FALSE),IF(C193="NA","NA",IF(_xlpm.x="","NA",_xlpm.x)))</f>
        <v>NEMVEDRAFT_v1g25864</v>
      </c>
      <c r="E193" t="str">
        <f>_xlfn.LET(_xlpm.x,VLOOKUP(C193,Table1[[#All],[Entry]:[Length]],4,FALSE),IF(C193="NA","NA",IF(_xlpm.x="","NA",_xlpm.x)))</f>
        <v>Uncharacterized protein</v>
      </c>
      <c r="F193" s="3">
        <v>112.12900332559801</v>
      </c>
      <c r="G193" s="3">
        <v>-0.54683119997580398</v>
      </c>
      <c r="H193" s="3">
        <v>0.55235418273685299</v>
      </c>
      <c r="I193" s="2">
        <v>6.1535950806888503E-4</v>
      </c>
      <c r="J193" s="2">
        <v>8.6222911994698198E-2</v>
      </c>
    </row>
    <row r="194" spans="1:10" x14ac:dyDescent="0.25">
      <c r="A194" t="s">
        <v>7</v>
      </c>
      <c r="B194" t="s">
        <v>366</v>
      </c>
      <c r="C194" t="s">
        <v>367</v>
      </c>
      <c r="D194" t="str">
        <f>_xlfn.LET(_xlpm.x,VLOOKUP(C194,Table1[[#All],[Entry]:[Length]],5,FALSE),IF(C194="NA","NA",IF(_xlpm.x="","NA",_xlpm.x)))</f>
        <v>LOC116303514</v>
      </c>
      <c r="E194" t="str">
        <f>_xlfn.LET(_xlpm.x,VLOOKUP(C194,Table1[[#All],[Entry]:[Length]],4,FALSE),IF(C194="NA","NA",IF(_xlpm.x="","NA",_xlpm.x)))</f>
        <v>Uncharacterized protein LOC116303514</v>
      </c>
      <c r="F194" s="3">
        <v>82.460103432499395</v>
      </c>
      <c r="G194" s="3">
        <v>0.54448111237765195</v>
      </c>
      <c r="H194" s="3">
        <v>0.57876121617785103</v>
      </c>
      <c r="I194" s="2">
        <v>6.1149201045834496E-4</v>
      </c>
      <c r="J194" s="2">
        <v>8.6222911994698198E-2</v>
      </c>
    </row>
    <row r="195" spans="1:10" x14ac:dyDescent="0.25">
      <c r="A195" t="s">
        <v>7</v>
      </c>
      <c r="B195" t="s">
        <v>368</v>
      </c>
      <c r="C195" t="s">
        <v>369</v>
      </c>
      <c r="D195" t="str">
        <f>_xlfn.LET(_xlpm.x,VLOOKUP(C195,Table1[[#All],[Entry]:[Length]],5,FALSE),IF(C195="NA","NA",IF(_xlpm.x="","NA",_xlpm.x)))</f>
        <v>LOC116299435</v>
      </c>
      <c r="E195" t="str">
        <f>_xlfn.LET(_xlpm.x,VLOOKUP(C195,Table1[[#All],[Entry]:[Length]],4,FALSE),IF(C195="NA","NA",IF(_xlpm.x="","NA",_xlpm.x)))</f>
        <v>Uncharacterized protein LOC116299435</v>
      </c>
      <c r="F195" s="3">
        <v>37.294085259666197</v>
      </c>
      <c r="G195" s="3">
        <v>-0.51685242342936599</v>
      </c>
      <c r="H195" s="3">
        <v>0.62151489099310597</v>
      </c>
      <c r="I195" s="2">
        <v>6.1157446020803903E-4</v>
      </c>
      <c r="J195" s="2">
        <v>8.6222911994698198E-2</v>
      </c>
    </row>
    <row r="196" spans="1:10" x14ac:dyDescent="0.25">
      <c r="A196" t="s">
        <v>7</v>
      </c>
      <c r="B196" t="s">
        <v>370</v>
      </c>
      <c r="C196" t="s">
        <v>371</v>
      </c>
      <c r="D196" t="str">
        <f>_xlfn.LET(_xlpm.x,VLOOKUP(C196,Table1[[#All],[Entry]:[Length]],5,FALSE),IF(C196="NA","NA",IF(_xlpm.x="","NA",_xlpm.x)))</f>
        <v>LOC116303701</v>
      </c>
      <c r="E196" t="str">
        <f>_xlfn.LET(_xlpm.x,VLOOKUP(C196,Table1[[#All],[Entry]:[Length]],4,FALSE),IF(C196="NA","NA",IF(_xlpm.x="","NA",_xlpm.x)))</f>
        <v>Transmembrane protein 53-like</v>
      </c>
      <c r="F196" s="3">
        <v>567.81675608810099</v>
      </c>
      <c r="G196" s="3">
        <v>0.50120688907358402</v>
      </c>
      <c r="H196" s="3">
        <v>0.43487492163813901</v>
      </c>
      <c r="I196" s="2">
        <v>6.1444343573397104E-4</v>
      </c>
      <c r="J196" s="2">
        <v>8.6222911994698198E-2</v>
      </c>
    </row>
    <row r="197" spans="1:10" x14ac:dyDescent="0.25">
      <c r="A197" t="s">
        <v>7</v>
      </c>
      <c r="B197" t="s">
        <v>372</v>
      </c>
      <c r="C197" t="s">
        <v>373</v>
      </c>
      <c r="D197" t="str">
        <f>_xlfn.LET(_xlpm.x,VLOOKUP(C197,Table1[[#All],[Entry]:[Length]],5,FALSE),IF(C197="NA","NA",IF(_xlpm.x="","NA",_xlpm.x)))</f>
        <v>LOC116301779</v>
      </c>
      <c r="E197" t="str">
        <f>_xlfn.LET(_xlpm.x,VLOOKUP(C197,Table1[[#All],[Entry]:[Length]],4,FALSE),IF(C197="NA","NA",IF(_xlpm.x="","NA",_xlpm.x)))</f>
        <v>Neuroendocrine convertase 1-like</v>
      </c>
      <c r="F197" s="3">
        <v>1659.49705957725</v>
      </c>
      <c r="G197" s="3">
        <v>-0.376155880062369</v>
      </c>
      <c r="H197" s="3">
        <v>0.31575683615391997</v>
      </c>
      <c r="I197" s="2">
        <v>6.3858287970734902E-4</v>
      </c>
      <c r="J197" s="2">
        <v>8.9020408276754504E-2</v>
      </c>
    </row>
    <row r="198" spans="1:10" x14ac:dyDescent="0.25">
      <c r="A198" t="s">
        <v>7</v>
      </c>
      <c r="B198" t="s">
        <v>374</v>
      </c>
      <c r="C198" t="s">
        <v>375</v>
      </c>
      <c r="D198" t="str">
        <f>_xlfn.LET(_xlpm.x,VLOOKUP(C198,Table1[[#All],[Entry]:[Length]],5,FALSE),IF(C198="NA","NA",IF(_xlpm.x="","NA",_xlpm.x)))</f>
        <v>LOC116296577</v>
      </c>
      <c r="E198" t="str">
        <f>_xlfn.LET(_xlpm.x,VLOOKUP(C198,Table1[[#All],[Entry]:[Length]],4,FALSE),IF(C198="NA","NA",IF(_xlpm.x="","NA",_xlpm.x)))</f>
        <v>Sushi, nidogen and EGF-like domain-containing protein 1</v>
      </c>
      <c r="F198" s="3">
        <v>310.20120197221797</v>
      </c>
      <c r="G198" s="3">
        <v>-9.7663136930167802E-2</v>
      </c>
      <c r="H198" s="3">
        <v>0.51763108399499502</v>
      </c>
      <c r="I198" s="2">
        <v>7.0485282414764505E-4</v>
      </c>
      <c r="J198" s="2">
        <v>9.7759866569472595E-2</v>
      </c>
    </row>
    <row r="199" spans="1:10" x14ac:dyDescent="0.25">
      <c r="A199" t="s">
        <v>7</v>
      </c>
      <c r="B199" t="s">
        <v>376</v>
      </c>
      <c r="C199" t="s">
        <v>377</v>
      </c>
      <c r="D199" t="str">
        <f>_xlfn.LET(_xlpm.x,VLOOKUP(C199,Table1[[#All],[Entry]:[Length]],5,FALSE),IF(C199="NA","NA",IF(_xlpm.x="","NA",_xlpm.x)))</f>
        <v>LOC116295620</v>
      </c>
      <c r="E199" t="str">
        <f>_xlfn.LET(_xlpm.x,VLOOKUP(C199,Table1[[#All],[Entry]:[Length]],4,FALSE),IF(C199="NA","NA",IF(_xlpm.x="","NA",_xlpm.x)))</f>
        <v>Uncharacterized protein LOC116295620 isoform X1</v>
      </c>
      <c r="F199" s="3">
        <v>1420.3167770753801</v>
      </c>
      <c r="G199" s="3">
        <v>-0.47757831316889099</v>
      </c>
      <c r="H199" s="3">
        <v>0.43971223152157002</v>
      </c>
      <c r="I199" s="2">
        <v>7.1352707736055095E-4</v>
      </c>
      <c r="J199" s="2">
        <v>9.8463133003648201E-2</v>
      </c>
    </row>
    <row r="200" spans="1:10" x14ac:dyDescent="0.25">
      <c r="A200" t="s">
        <v>7</v>
      </c>
      <c r="B200" t="s">
        <v>378</v>
      </c>
      <c r="C200" t="s">
        <v>379</v>
      </c>
      <c r="D200" t="str">
        <f>_xlfn.LET(_xlpm.x,VLOOKUP(C200,Table1[[#All],[Entry]:[Length]],5,FALSE),IF(C200="NA","NA",IF(_xlpm.x="","NA",_xlpm.x)))</f>
        <v>LOC116296669</v>
      </c>
      <c r="E200" t="str">
        <f>_xlfn.LET(_xlpm.x,VLOOKUP(C200,Table1[[#All],[Entry]:[Length]],4,FALSE),IF(C200="NA","NA",IF(_xlpm.x="","NA",_xlpm.x)))</f>
        <v>Cholinesterase 1-like</v>
      </c>
      <c r="F200" s="3">
        <v>49.968118613936703</v>
      </c>
      <c r="G200" s="3">
        <v>-0.50648459368918697</v>
      </c>
      <c r="H200" s="3">
        <v>0.50958472076124295</v>
      </c>
      <c r="I200" s="2">
        <v>7.2790424777052201E-4</v>
      </c>
      <c r="J200" s="2">
        <v>9.9329312662909897E-2</v>
      </c>
    </row>
    <row r="201" spans="1:10" x14ac:dyDescent="0.25">
      <c r="A201" t="s">
        <v>7</v>
      </c>
      <c r="B201" t="s">
        <v>380</v>
      </c>
      <c r="C201" t="s">
        <v>381</v>
      </c>
      <c r="D201" t="str">
        <f>_xlfn.LET(_xlpm.x,VLOOKUP(C201,Table1[[#All],[Entry]:[Length]],5,FALSE),IF(C201="NA","NA",IF(_xlpm.x="","NA",_xlpm.x)))</f>
        <v>LOC116305123</v>
      </c>
      <c r="E201" t="str">
        <f>_xlfn.LET(_xlpm.x,VLOOKUP(C201,Table1[[#All],[Entry]:[Length]],4,FALSE),IF(C201="NA","NA",IF(_xlpm.x="","NA",_xlpm.x)))</f>
        <v>E3 ubiquitin-protein ligase TRIM71-like</v>
      </c>
      <c r="F201" s="3">
        <v>24.678216341995999</v>
      </c>
      <c r="G201" s="3">
        <v>0.48115805203249501</v>
      </c>
      <c r="H201" s="3">
        <v>0.60492431635107902</v>
      </c>
      <c r="I201" s="2">
        <v>7.2983882643471701E-4</v>
      </c>
      <c r="J201" s="2">
        <v>9.9329312662909897E-2</v>
      </c>
    </row>
    <row r="202" spans="1:10" x14ac:dyDescent="0.25">
      <c r="A202" t="s">
        <v>7</v>
      </c>
      <c r="B202" t="s">
        <v>382</v>
      </c>
      <c r="C202" t="s">
        <v>383</v>
      </c>
      <c r="D202" t="str">
        <f>_xlfn.LET(_xlpm.x,VLOOKUP(C202,Table1[[#All],[Entry]:[Length]],5,FALSE),IF(C202="NA","NA",IF(_xlpm.x="","NA",_xlpm.x)))</f>
        <v>LOC116294724</v>
      </c>
      <c r="E202" t="str">
        <f>_xlfn.LET(_xlpm.x,VLOOKUP(C202,Table1[[#All],[Entry]:[Length]],4,FALSE),IF(C202="NA","NA",IF(_xlpm.x="","NA",_xlpm.x)))</f>
        <v>Uncharacterized protein LOC116294724</v>
      </c>
      <c r="F202" s="3">
        <v>57.534020207776898</v>
      </c>
      <c r="G202" s="3">
        <v>0.48095568494538798</v>
      </c>
      <c r="H202" s="3">
        <v>0.60076893997858105</v>
      </c>
      <c r="I202" s="2">
        <v>7.4161621283291097E-4</v>
      </c>
      <c r="J202" s="2">
        <v>9.9329312662909897E-2</v>
      </c>
    </row>
    <row r="203" spans="1:10" x14ac:dyDescent="0.25">
      <c r="A203" t="s">
        <v>7</v>
      </c>
      <c r="B203" t="s">
        <v>384</v>
      </c>
      <c r="C203" t="s">
        <v>350</v>
      </c>
      <c r="D203" t="str">
        <f>_xlfn.LET(_xlpm.x,VLOOKUP(C203,Table1[[#All],[Entry]:[Length]],5,FALSE),IF(C203="NA","NA",IF(_xlpm.x="","NA",_xlpm.x)))</f>
        <v>pdam_00023890</v>
      </c>
      <c r="E203" t="str">
        <f>_xlfn.LET(_xlpm.x,VLOOKUP(C203,Table1[[#All],[Entry]:[Length]],4,FALSE),IF(C203="NA","NA",IF(_xlpm.x="","NA",_xlpm.x)))</f>
        <v>GIY-YIG domain-containing protein</v>
      </c>
      <c r="F203" s="3">
        <v>64.137211419607397</v>
      </c>
      <c r="G203" s="3">
        <v>0.47922130096847698</v>
      </c>
      <c r="H203" s="3">
        <v>0.45097830484854801</v>
      </c>
      <c r="I203" s="2">
        <v>7.3561523476268402E-4</v>
      </c>
      <c r="J203" s="2">
        <v>9.9329312662909897E-2</v>
      </c>
    </row>
    <row r="204" spans="1:10" x14ac:dyDescent="0.25">
      <c r="A204" t="s">
        <v>7</v>
      </c>
      <c r="B204" t="s">
        <v>385</v>
      </c>
      <c r="C204" t="s">
        <v>386</v>
      </c>
      <c r="D204" t="str">
        <f>_xlfn.LET(_xlpm.x,VLOOKUP(C204,Table1[[#All],[Entry]:[Length]],5,FALSE),IF(C204="NA","NA",IF(_xlpm.x="","NA",_xlpm.x)))</f>
        <v>LOC116291462</v>
      </c>
      <c r="E204" t="str">
        <f>_xlfn.LET(_xlpm.x,VLOOKUP(C204,Table1[[#All],[Entry]:[Length]],4,FALSE),IF(C204="NA","NA",IF(_xlpm.x="","NA",_xlpm.x)))</f>
        <v>Uncharacterized protein LOC116291462</v>
      </c>
      <c r="F204" s="3">
        <v>327.58049027236899</v>
      </c>
      <c r="G204" s="3">
        <v>-0.36867871727700502</v>
      </c>
      <c r="H204" s="3">
        <v>0.32726011161677099</v>
      </c>
      <c r="I204" s="2">
        <v>7.3968963228361801E-4</v>
      </c>
      <c r="J204" s="2">
        <v>9.9329312662909897E-2</v>
      </c>
    </row>
    <row r="205" spans="1:10" x14ac:dyDescent="0.25">
      <c r="A205" t="s">
        <v>7</v>
      </c>
      <c r="B205" t="s">
        <v>387</v>
      </c>
      <c r="C205" t="s">
        <v>388</v>
      </c>
      <c r="D205" t="str">
        <f>_xlfn.LET(_xlpm.x,VLOOKUP(C205,Table1[[#All],[Entry]:[Length]],5,FALSE),IF(C205="NA","NA",IF(_xlpm.x="","NA",_xlpm.x)))</f>
        <v>LOC116296968</v>
      </c>
      <c r="E205" t="str">
        <f>_xlfn.LET(_xlpm.x,VLOOKUP(C205,Table1[[#All],[Entry]:[Length]],4,FALSE),IF(C205="NA","NA",IF(_xlpm.x="","NA",_xlpm.x)))</f>
        <v>Nucleoside diphosphate kinase (EC 2.7.4.6)</v>
      </c>
      <c r="F205" s="3">
        <v>26.536531830780799</v>
      </c>
      <c r="G205" s="3">
        <v>0.247612307712542</v>
      </c>
      <c r="H205" s="3">
        <v>0.58136886809231703</v>
      </c>
      <c r="I205" s="2">
        <v>7.3236229799452204E-4</v>
      </c>
      <c r="J205" s="2">
        <v>9.9329312662909897E-2</v>
      </c>
    </row>
    <row r="206" spans="1:10" x14ac:dyDescent="0.25">
      <c r="A206" t="s">
        <v>7</v>
      </c>
      <c r="B206" t="s">
        <v>389</v>
      </c>
      <c r="C206" t="s">
        <v>390</v>
      </c>
      <c r="D206" t="str">
        <f>_xlfn.LET(_xlpm.x,VLOOKUP(C206,Table1[[#All],[Entry]:[Length]],5,FALSE),IF(C206="NA","NA",IF(_xlpm.x="","NA",_xlpm.x)))</f>
        <v>LOC116291252</v>
      </c>
      <c r="E206" t="str">
        <f>_xlfn.LET(_xlpm.x,VLOOKUP(C206,Table1[[#All],[Entry]:[Length]],4,FALSE),IF(C206="NA","NA",IF(_xlpm.x="","NA",_xlpm.x)))</f>
        <v>Multidrug and toxin extrusion protein</v>
      </c>
      <c r="F206" s="3">
        <v>54.500943927894603</v>
      </c>
      <c r="G206" s="3">
        <v>0.50066506199231497</v>
      </c>
      <c r="H206" s="3">
        <v>0.529257610412318</v>
      </c>
      <c r="I206" s="2">
        <v>7.60801041240219E-4</v>
      </c>
      <c r="J206" s="2">
        <v>9.9529304830787396E-2</v>
      </c>
    </row>
    <row r="207" spans="1:10" x14ac:dyDescent="0.25">
      <c r="A207" t="s">
        <v>7</v>
      </c>
      <c r="B207" t="s">
        <v>391</v>
      </c>
      <c r="C207" t="s">
        <v>392</v>
      </c>
      <c r="D207" t="str">
        <f>_xlfn.LET(_xlpm.x,VLOOKUP(C207,Table1[[#All],[Entry]:[Length]],5,FALSE),IF(C207="NA","NA",IF(_xlpm.x="","NA",_xlpm.x)))</f>
        <v>LOC116291425</v>
      </c>
      <c r="E207" t="str">
        <f>_xlfn.LET(_xlpm.x,VLOOKUP(C207,Table1[[#All],[Entry]:[Length]],4,FALSE),IF(C207="NA","NA",IF(_xlpm.x="","NA",_xlpm.x)))</f>
        <v>Uncharacterized protein C1orf158 homolog</v>
      </c>
      <c r="F207" s="3">
        <v>30.298761851884599</v>
      </c>
      <c r="G207" s="3">
        <v>0.49799410664785398</v>
      </c>
      <c r="H207" s="3">
        <v>0.56800784872201404</v>
      </c>
      <c r="I207" s="2">
        <v>7.5429817038794402E-4</v>
      </c>
      <c r="J207" s="2">
        <v>9.9529304830787396E-2</v>
      </c>
    </row>
    <row r="208" spans="1:10" x14ac:dyDescent="0.25">
      <c r="A208" t="s">
        <v>7</v>
      </c>
      <c r="B208" t="s">
        <v>393</v>
      </c>
      <c r="C208" t="s">
        <v>394</v>
      </c>
      <c r="D208" t="str">
        <f>_xlfn.LET(_xlpm.x,VLOOKUP(C208,Table1[[#All],[Entry]:[Length]],5,FALSE),IF(C208="NA","NA",IF(_xlpm.x="","NA",_xlpm.x)))</f>
        <v>LOC116287132</v>
      </c>
      <c r="E208" t="str">
        <f>_xlfn.LET(_xlpm.x,VLOOKUP(C208,Table1[[#All],[Entry]:[Length]],4,FALSE),IF(C208="NA","NA",IF(_xlpm.x="","NA",_xlpm.x)))</f>
        <v>Protein HOS4-like</v>
      </c>
      <c r="F208" s="3">
        <v>78.719808946622507</v>
      </c>
      <c r="G208" s="3">
        <v>0.49054960987956903</v>
      </c>
      <c r="H208" s="3">
        <v>0.49192859455353299</v>
      </c>
      <c r="I208" s="2">
        <v>7.6860825382630605E-4</v>
      </c>
      <c r="J208" s="2">
        <v>9.9529304830787396E-2</v>
      </c>
    </row>
    <row r="209" spans="1:10" x14ac:dyDescent="0.25">
      <c r="A209" t="s">
        <v>7</v>
      </c>
      <c r="B209" t="s">
        <v>395</v>
      </c>
      <c r="C209" t="s">
        <v>396</v>
      </c>
      <c r="D209" t="str">
        <f>_xlfn.LET(_xlpm.x,VLOOKUP(C209,Table1[[#All],[Entry]:[Length]],5,FALSE),IF(C209="NA","NA",IF(_xlpm.x="","NA",_xlpm.x)))</f>
        <v>LOC116306447</v>
      </c>
      <c r="E209" t="str">
        <f>_xlfn.LET(_xlpm.x,VLOOKUP(C209,Table1[[#All],[Entry]:[Length]],4,FALSE),IF(C209="NA","NA",IF(_xlpm.x="","NA",_xlpm.x)))</f>
        <v>Hornerin-like</v>
      </c>
      <c r="F209" s="3">
        <v>55.999274058173697</v>
      </c>
      <c r="G209" s="3">
        <v>0.42370043320323098</v>
      </c>
      <c r="H209" s="3">
        <v>0.62316109908568695</v>
      </c>
      <c r="I209" s="2">
        <v>7.5367371537166496E-4</v>
      </c>
      <c r="J209" s="2">
        <v>9.9529304830787396E-2</v>
      </c>
    </row>
    <row r="210" spans="1:10" x14ac:dyDescent="0.25">
      <c r="A210" t="s">
        <v>7</v>
      </c>
      <c r="B210" t="s">
        <v>397</v>
      </c>
      <c r="C210" t="s">
        <v>398</v>
      </c>
      <c r="D210" t="str">
        <f>_xlfn.LET(_xlpm.x,VLOOKUP(C210,Table1[[#All],[Entry]:[Length]],5,FALSE),IF(C210="NA","NA",IF(_xlpm.x="","NA",_xlpm.x)))</f>
        <v>PACLA_8A022546</v>
      </c>
      <c r="E210" t="str">
        <f>_xlfn.LET(_xlpm.x,VLOOKUP(C210,Table1[[#All],[Entry]:[Length]],4,FALSE),IF(C210="NA","NA",IF(_xlpm.x="","NA",_xlpm.x)))</f>
        <v>Uncharacterized protein</v>
      </c>
      <c r="F210" s="3">
        <v>451.03884692398901</v>
      </c>
      <c r="G210" s="3">
        <v>0.41196964823478399</v>
      </c>
      <c r="H210" s="3">
        <v>0.37377853150181101</v>
      </c>
      <c r="I210" s="2">
        <v>7.6618838882863997E-4</v>
      </c>
      <c r="J210" s="2">
        <v>9.9529304830787396E-2</v>
      </c>
    </row>
    <row r="211" spans="1:10" x14ac:dyDescent="0.25">
      <c r="A211" t="s">
        <v>7</v>
      </c>
      <c r="B211" t="s">
        <v>399</v>
      </c>
      <c r="C211" t="s">
        <v>400</v>
      </c>
      <c r="D211" t="str">
        <f>_xlfn.LET(_xlpm.x,VLOOKUP(C211,Table1[[#All],[Entry]:[Length]],5,FALSE),IF(C211="NA","NA",IF(_xlpm.x="","NA",_xlpm.x)))</f>
        <v>LOC116294086</v>
      </c>
      <c r="E211" t="str">
        <f>_xlfn.LET(_xlpm.x,VLOOKUP(C211,Table1[[#All],[Entry]:[Length]],4,FALSE),IF(C211="NA","NA",IF(_xlpm.x="","NA",_xlpm.x)))</f>
        <v>Growth/differentiation factor 8-like</v>
      </c>
      <c r="F211" s="3">
        <v>4066.3518787256398</v>
      </c>
      <c r="G211" s="3">
        <v>-0.393016998709385</v>
      </c>
      <c r="H211" s="3">
        <v>0.35429887242846902</v>
      </c>
      <c r="I211" s="2">
        <v>7.6475825064427003E-4</v>
      </c>
      <c r="J211" s="2">
        <v>9.9529304830787396E-2</v>
      </c>
    </row>
    <row r="212" spans="1:10" x14ac:dyDescent="0.25">
      <c r="A212" t="s">
        <v>7</v>
      </c>
      <c r="B212" t="s">
        <v>401</v>
      </c>
      <c r="C212" t="s">
        <v>402</v>
      </c>
      <c r="D212" t="str">
        <f>_xlfn.LET(_xlpm.x,VLOOKUP(C212,Table1[[#All],[Entry]:[Length]],5,FALSE),IF(C212="NA","NA",IF(_xlpm.x="","NA",_xlpm.x)))</f>
        <v>LOC116293963</v>
      </c>
      <c r="E212" t="str">
        <f>_xlfn.LET(_xlpm.x,VLOOKUP(C212,Table1[[#All],[Entry]:[Length]],4,FALSE),IF(C212="NA","NA",IF(_xlpm.x="","NA",_xlpm.x)))</f>
        <v>Uncharacterized protein YMR196W-like isoform X1</v>
      </c>
      <c r="F212" s="3">
        <v>298.04603713844898</v>
      </c>
      <c r="G212" s="3">
        <v>-0.32576120832535899</v>
      </c>
      <c r="H212" s="3">
        <v>0.29220816679560502</v>
      </c>
      <c r="I212" s="2">
        <v>7.4732017235656304E-4</v>
      </c>
      <c r="J212" s="2">
        <v>9.9529304830787396E-2</v>
      </c>
    </row>
    <row r="213" spans="1:10" x14ac:dyDescent="0.25">
      <c r="A213" t="s">
        <v>403</v>
      </c>
      <c r="B213" t="s">
        <v>404</v>
      </c>
      <c r="C213" t="s">
        <v>405</v>
      </c>
      <c r="D213" t="str">
        <f>_xlfn.LET(_xlpm.x,VLOOKUP(C213,Table1[[#All],[Entry]:[Length]],5,FALSE),IF(C213="NA","NA",IF(_xlpm.x="","NA",_xlpm.x)))</f>
        <v>LOC116289450</v>
      </c>
      <c r="E213" t="str">
        <f>_xlfn.LET(_xlpm.x,VLOOKUP(C213,Table1[[#All],[Entry]:[Length]],4,FALSE),IF(C213="NA","NA",IF(_xlpm.x="","NA",_xlpm.x)))</f>
        <v>Nascent polypeptide-associated complex subunit alpha, muscle-specific form-like isoform X1</v>
      </c>
      <c r="F213" s="3">
        <v>116.702846059359</v>
      </c>
      <c r="G213" s="3">
        <v>19.218977297069902</v>
      </c>
      <c r="H213" s="3">
        <v>3.0607107382965402</v>
      </c>
      <c r="I213" s="2">
        <v>1.3711040239449401E-10</v>
      </c>
      <c r="J213" s="2">
        <v>4.0123988156724903E-6</v>
      </c>
    </row>
    <row r="214" spans="1:10" x14ac:dyDescent="0.25">
      <c r="A214" t="s">
        <v>403</v>
      </c>
      <c r="B214" t="s">
        <v>406</v>
      </c>
      <c r="C214" t="s">
        <v>407</v>
      </c>
      <c r="D214" t="str">
        <f>_xlfn.LET(_xlpm.x,VLOOKUP(C214,Table1[[#All],[Entry]:[Length]],5,FALSE),IF(C214="NA","NA",IF(_xlpm.x="","NA",_xlpm.x)))</f>
        <v>LOC116292262</v>
      </c>
      <c r="E214" t="str">
        <f>_xlfn.LET(_xlpm.x,VLOOKUP(C214,Table1[[#All],[Entry]:[Length]],4,FALSE),IF(C214="NA","NA",IF(_xlpm.x="","NA",_xlpm.x)))</f>
        <v>5'-3' exoribonuclease 2-like isoform X1</v>
      </c>
      <c r="F214" s="3">
        <v>79.510497685257704</v>
      </c>
      <c r="G214" s="3">
        <v>1.9434775744596999</v>
      </c>
      <c r="H214" s="3">
        <v>0.52058444422315397</v>
      </c>
      <c r="I214" s="2">
        <v>2.4055641326633102E-7</v>
      </c>
      <c r="J214" s="2">
        <v>3.5198214389129501E-3</v>
      </c>
    </row>
    <row r="215" spans="1:10" x14ac:dyDescent="0.25">
      <c r="A215" t="s">
        <v>403</v>
      </c>
      <c r="B215" t="s">
        <v>408</v>
      </c>
      <c r="C215" t="s">
        <v>409</v>
      </c>
      <c r="D215" t="str">
        <f>_xlfn.LET(_xlpm.x,VLOOKUP(C215,Table1[[#All],[Entry]:[Length]],5,FALSE),IF(C215="NA","NA",IF(_xlpm.x="","NA",_xlpm.x)))</f>
        <v>NEMVEDRAFT_v1g80429</v>
      </c>
      <c r="E215" t="str">
        <f>_xlfn.LET(_xlpm.x,VLOOKUP(C215,Table1[[#All],[Entry]:[Length]],4,FALSE),IF(C215="NA","NA",IF(_xlpm.x="","NA",_xlpm.x)))</f>
        <v>G-protein coupled receptors family 1 profile domain-containing protein</v>
      </c>
      <c r="F215" s="3">
        <v>24.534874676861499</v>
      </c>
      <c r="G215" s="3">
        <v>2.7039871227682002</v>
      </c>
      <c r="H215" s="3">
        <v>0.99089408598859696</v>
      </c>
      <c r="I215" s="2">
        <v>4.1241921682120802E-7</v>
      </c>
      <c r="J215" s="2">
        <v>4.02301198701861E-3</v>
      </c>
    </row>
    <row r="216" spans="1:10" x14ac:dyDescent="0.25">
      <c r="A216" t="s">
        <v>403</v>
      </c>
      <c r="B216" t="s">
        <v>410</v>
      </c>
      <c r="C216" t="s">
        <v>411</v>
      </c>
      <c r="D216" t="str">
        <f>_xlfn.LET(_xlpm.x,VLOOKUP(C216,Table1[[#All],[Entry]:[Length]],5,FALSE),IF(C216="NA","NA",IF(_xlpm.x="","NA",_xlpm.x)))</f>
        <v>LOC116299776</v>
      </c>
      <c r="E216" t="str">
        <f>_xlfn.LET(_xlpm.x,VLOOKUP(C216,Table1[[#All],[Entry]:[Length]],4,FALSE),IF(C216="NA","NA",IF(_xlpm.x="","NA",_xlpm.x)))</f>
        <v>Fibropellin-1-like</v>
      </c>
      <c r="F216" s="3">
        <v>122.420021998123</v>
      </c>
      <c r="G216" s="3">
        <v>1.3375392434892499</v>
      </c>
      <c r="H216" s="3">
        <v>0.82227868827662298</v>
      </c>
      <c r="I216" s="2">
        <v>3.10350681213818E-6</v>
      </c>
      <c r="J216" s="2">
        <v>2.2705255837602901E-2</v>
      </c>
    </row>
    <row r="217" spans="1:10" x14ac:dyDescent="0.25">
      <c r="A217" t="s">
        <v>403</v>
      </c>
      <c r="B217" t="s">
        <v>412</v>
      </c>
      <c r="C217" t="s">
        <v>413</v>
      </c>
      <c r="D217" t="str">
        <f>_xlfn.LET(_xlpm.x,VLOOKUP(C217,Table1[[#All],[Entry]:[Length]],5,FALSE),IF(C217="NA","NA",IF(_xlpm.x="","NA",_xlpm.x)))</f>
        <v>LOC116307612</v>
      </c>
      <c r="E217" t="str">
        <f>_xlfn.LET(_xlpm.x,VLOOKUP(C217,Table1[[#All],[Entry]:[Length]],4,FALSE),IF(C217="NA","NA",IF(_xlpm.x="","NA",_xlpm.x)))</f>
        <v>Collagen alpha-1(II) chain-like</v>
      </c>
      <c r="F217" s="3">
        <v>81.713106248814299</v>
      </c>
      <c r="G217" s="3">
        <v>1.4516768952058099</v>
      </c>
      <c r="H217" s="3">
        <v>1.2472523786724301</v>
      </c>
      <c r="I217" s="2">
        <v>5.5590788035179303E-6</v>
      </c>
      <c r="J217" s="2">
        <v>2.7113480351024798E-2</v>
      </c>
    </row>
    <row r="218" spans="1:10" x14ac:dyDescent="0.25">
      <c r="A218" t="s">
        <v>403</v>
      </c>
      <c r="B218" t="s">
        <v>414</v>
      </c>
      <c r="C218" t="s">
        <v>415</v>
      </c>
      <c r="D218" t="str">
        <f>_xlfn.LET(_xlpm.x,VLOOKUP(C218,Table1[[#All],[Entry]:[Length]],5,FALSE),IF(C218="NA","NA",IF(_xlpm.x="","NA",_xlpm.x)))</f>
        <v>LOC116287090</v>
      </c>
      <c r="E218" t="str">
        <f>_xlfn.LET(_xlpm.x,VLOOKUP(C218,Table1[[#All],[Entry]:[Length]],4,FALSE),IF(C218="NA","NA",IF(_xlpm.x="","NA",_xlpm.x)))</f>
        <v>Uncharacterized protein LOC116287090</v>
      </c>
      <c r="F218" s="3">
        <v>173.16033082397999</v>
      </c>
      <c r="G218" s="3">
        <v>0.87283862543190105</v>
      </c>
      <c r="H218" s="3">
        <v>0.67343398271669397</v>
      </c>
      <c r="I218" s="2">
        <v>5.1205143411774303E-6</v>
      </c>
      <c r="J218" s="2">
        <v>2.7113480351024798E-2</v>
      </c>
    </row>
    <row r="219" spans="1:10" x14ac:dyDescent="0.25">
      <c r="A219" t="s">
        <v>403</v>
      </c>
      <c r="B219" t="s">
        <v>416</v>
      </c>
      <c r="C219" t="s">
        <v>417</v>
      </c>
      <c r="D219" t="str">
        <f>_xlfn.LET(_xlpm.x,VLOOKUP(C219,Table1[[#All],[Entry]:[Length]],5,FALSE),IF(C219="NA","NA",IF(_xlpm.x="","NA",_xlpm.x)))</f>
        <v>LOC116292262</v>
      </c>
      <c r="E219" t="str">
        <f>_xlfn.LET(_xlpm.x,VLOOKUP(C219,Table1[[#All],[Entry]:[Length]],4,FALSE),IF(C219="NA","NA",IF(_xlpm.x="","NA",_xlpm.x)))</f>
        <v>Uncharacterized protein LOC116292262 isoform X3</v>
      </c>
      <c r="F219" s="3">
        <v>390.30102152038103</v>
      </c>
      <c r="G219" s="3">
        <v>0.830171541309914</v>
      </c>
      <c r="H219" s="3">
        <v>0.85449790756939603</v>
      </c>
      <c r="I219" s="2">
        <v>1.05502275190046E-5</v>
      </c>
      <c r="J219" s="2">
        <v>3.9639544958100001E-2</v>
      </c>
    </row>
    <row r="220" spans="1:10" x14ac:dyDescent="0.25">
      <c r="A220" t="s">
        <v>403</v>
      </c>
      <c r="B220" t="s">
        <v>418</v>
      </c>
      <c r="C220" t="s">
        <v>419</v>
      </c>
      <c r="D220" t="str">
        <f>_xlfn.LET(_xlpm.x,VLOOKUP(C220,Table1[[#All],[Entry]:[Length]],5,FALSE),IF(C220="NA","NA",IF(_xlpm.x="","NA",_xlpm.x)))</f>
        <v>LOC116308546</v>
      </c>
      <c r="E220" t="str">
        <f>_xlfn.LET(_xlpm.x,VLOOKUP(C220,Table1[[#All],[Entry]:[Length]],4,FALSE),IF(C220="NA","NA",IF(_xlpm.x="","NA",_xlpm.x)))</f>
        <v>Uncharacterized protein LOC116308546</v>
      </c>
      <c r="F220" s="3">
        <v>547.97129018067199</v>
      </c>
      <c r="G220" s="3">
        <v>0.81354063655020403</v>
      </c>
      <c r="H220" s="3">
        <v>0.84733954473186002</v>
      </c>
      <c r="I220" s="2">
        <v>1.08363982936304E-5</v>
      </c>
      <c r="J220" s="2">
        <v>3.9639544958100001E-2</v>
      </c>
    </row>
    <row r="221" spans="1:10" x14ac:dyDescent="0.25">
      <c r="A221" t="s">
        <v>403</v>
      </c>
      <c r="B221" t="s">
        <v>420</v>
      </c>
      <c r="C221" t="s">
        <v>421</v>
      </c>
      <c r="D221" t="str">
        <f>_xlfn.LET(_xlpm.x,VLOOKUP(C221,Table1[[#All],[Entry]:[Length]],5,FALSE),IF(C221="NA","NA",IF(_xlpm.x="","NA",_xlpm.x)))</f>
        <v>LOC116294676</v>
      </c>
      <c r="E221" t="str">
        <f>_xlfn.LET(_xlpm.x,VLOOKUP(C221,Table1[[#All],[Entry]:[Length]],4,FALSE),IF(C221="NA","NA",IF(_xlpm.x="","NA",_xlpm.x)))</f>
        <v>Uncharacterized protein LOC116294676</v>
      </c>
      <c r="F221" s="3">
        <v>27.9129211849943</v>
      </c>
      <c r="G221" s="3">
        <v>0.72369754817179199</v>
      </c>
      <c r="H221" s="3">
        <v>0.91355399885087496</v>
      </c>
      <c r="I221" s="2">
        <v>1.6744343753338499E-5</v>
      </c>
      <c r="J221" s="2">
        <v>5.4445163955299698E-2</v>
      </c>
    </row>
    <row r="222" spans="1:10" x14ac:dyDescent="0.25">
      <c r="A222" t="s">
        <v>403</v>
      </c>
      <c r="B222" t="s">
        <v>422</v>
      </c>
      <c r="C222" t="s">
        <v>423</v>
      </c>
      <c r="D222" t="str">
        <f>_xlfn.LET(_xlpm.x,VLOOKUP(C222,Table1[[#All],[Entry]:[Length]],5,FALSE),IF(C222="NA","NA",IF(_xlpm.x="","NA",_xlpm.x)))</f>
        <v>PACLA_8A079117</v>
      </c>
      <c r="E222" t="str">
        <f>_xlfn.LET(_xlpm.x,VLOOKUP(C222,Table1[[#All],[Entry]:[Length]],4,FALSE),IF(C222="NA","NA",IF(_xlpm.x="","NA",_xlpm.x)))</f>
        <v>Uncharacterized protein</v>
      </c>
      <c r="F222" s="3">
        <v>163.23935430103401</v>
      </c>
      <c r="G222" s="3">
        <v>0.748758779142224</v>
      </c>
      <c r="H222" s="3">
        <v>1.0233922863496201</v>
      </c>
      <c r="I222" s="2">
        <v>1.9013790412321199E-5</v>
      </c>
      <c r="J222" s="2">
        <v>5.5641956262616803E-2</v>
      </c>
    </row>
    <row r="223" spans="1:10" x14ac:dyDescent="0.25">
      <c r="A223" t="s">
        <v>403</v>
      </c>
      <c r="B223" t="s">
        <v>424</v>
      </c>
      <c r="C223" t="s">
        <v>425</v>
      </c>
      <c r="D223" t="str">
        <f>_xlfn.LET(_xlpm.x,VLOOKUP(C223,Table1[[#All],[Entry]:[Length]],5,FALSE),IF(C223="NA","NA",IF(_xlpm.x="","NA",_xlpm.x)))</f>
        <v>NA</v>
      </c>
      <c r="E223" t="str">
        <f>_xlfn.LET(_xlpm.x,VLOOKUP(C223,Table1[[#All],[Entry]:[Length]],4,FALSE),IF(C223="NA","NA",IF(_xlpm.x="","NA",_xlpm.x)))</f>
        <v>SCP domain-containing protein</v>
      </c>
      <c r="F223" s="3">
        <v>42.156485071802599</v>
      </c>
      <c r="G223" s="3">
        <v>0.48377405293348302</v>
      </c>
      <c r="H223" s="3">
        <v>1.0247968664574001</v>
      </c>
      <c r="I223" s="2">
        <v>3.9945296739217601E-5</v>
      </c>
      <c r="J223" s="2">
        <v>9.7413263648038498E-2</v>
      </c>
    </row>
    <row r="224" spans="1:10" x14ac:dyDescent="0.25">
      <c r="A224" t="s">
        <v>403</v>
      </c>
      <c r="B224" t="s">
        <v>426</v>
      </c>
      <c r="C224" t="s">
        <v>427</v>
      </c>
      <c r="D224" t="str">
        <f>_xlfn.LET(_xlpm.x,VLOOKUP(C224,Table1[[#All],[Entry]:[Length]],5,FALSE),IF(C224="NA","NA",IF(_xlpm.x="","NA",_xlpm.x)))</f>
        <v>LOC116299426</v>
      </c>
      <c r="E224" t="str">
        <f>_xlfn.LET(_xlpm.x,VLOOKUP(C224,Table1[[#All],[Entry]:[Length]],4,FALSE),IF(C224="NA","NA",IF(_xlpm.x="","NA",_xlpm.x)))</f>
        <v>E3 ubiquitin-protein ligase TRIM71-like</v>
      </c>
      <c r="F224" s="3">
        <v>35.556449571547098</v>
      </c>
      <c r="G224" s="3">
        <v>0.463210903146694</v>
      </c>
      <c r="H224" s="3">
        <v>0.85801382466044596</v>
      </c>
      <c r="I224" s="2">
        <v>3.8866183005910797E-5</v>
      </c>
      <c r="J224" s="2">
        <v>9.7413263648038498E-2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6BD684-908D-484B-8E9F-E9BEE146C9E0}">
  <dimension ref="A1:K224"/>
  <sheetViews>
    <sheetView tabSelected="1" workbookViewId="0">
      <selection sqref="A1:XFD1048576"/>
    </sheetView>
  </sheetViews>
  <sheetFormatPr defaultRowHeight="15" x14ac:dyDescent="0.25"/>
  <cols>
    <col min="2" max="2" width="35.42578125" bestFit="1" customWidth="1"/>
    <col min="3" max="3" width="12.85546875" bestFit="1" customWidth="1"/>
    <col min="4" max="4" width="22.85546875" bestFit="1" customWidth="1"/>
    <col min="5" max="5" width="40.85546875" style="4" customWidth="1"/>
    <col min="6" max="6" width="252.7109375" style="4" bestFit="1" customWidth="1"/>
  </cols>
  <sheetData>
    <row r="1" spans="1:11" x14ac:dyDescent="0.25">
      <c r="A1" t="s">
        <v>0</v>
      </c>
      <c r="B1" t="s">
        <v>1</v>
      </c>
      <c r="C1" t="s">
        <v>1172</v>
      </c>
      <c r="D1" t="s">
        <v>1171</v>
      </c>
      <c r="E1" s="4" t="s">
        <v>1173</v>
      </c>
      <c r="F1" s="4" t="s">
        <v>1174</v>
      </c>
      <c r="G1" s="3" t="s">
        <v>2</v>
      </c>
      <c r="H1" s="3" t="s">
        <v>3</v>
      </c>
      <c r="I1" s="3" t="s">
        <v>4</v>
      </c>
      <c r="J1" s="2" t="s">
        <v>5</v>
      </c>
      <c r="K1" s="2" t="s">
        <v>6</v>
      </c>
    </row>
    <row r="2" spans="1:11" x14ac:dyDescent="0.25">
      <c r="A2" t="s">
        <v>7</v>
      </c>
      <c r="B2" t="s">
        <v>8</v>
      </c>
      <c r="C2" t="s">
        <v>9</v>
      </c>
      <c r="D2" t="str">
        <f>_xlfn.LET(_xlpm.x,VLOOKUP(C2,[1]!Table1[[#All],[Entry]:[Gene Ontology (GO)]],5,FALSE),IF(C2="NA","NA",IF(_xlpm.x="","NA",_xlpm.x)))</f>
        <v>LOC116287521</v>
      </c>
      <c r="E2" s="4" t="str">
        <f>_xlfn.LET(_xlpm.x,VLOOKUP(C2,[1]!Table1[[#All],[Entry]:[Gene Ontology (GO)]],4,FALSE),IF(C2="NA","NA",IF(_xlpm.x="","NA",_xlpm.x)))</f>
        <v>Uncharacterized protein LOC116287521</v>
      </c>
      <c r="F2" s="4" t="str">
        <f>_xlfn.LET(_xlpm.x,VLOOKUP(C2,[1]!Table1[[#All],[Entry]:[Gene Ontology (GO)]],8,FALSE),IF(C2="NA","NA",IF(_xlpm.x="","NA",_xlpm.x)))</f>
        <v>NA</v>
      </c>
      <c r="G2" s="3">
        <v>57.892715972498102</v>
      </c>
      <c r="H2" s="3">
        <v>5.7148158392687902</v>
      </c>
      <c r="I2" s="3">
        <v>0.69660687141560595</v>
      </c>
      <c r="J2" s="2">
        <v>4.1008241223191298E-17</v>
      </c>
      <c r="K2" s="2">
        <v>1.12046817494126E-12</v>
      </c>
    </row>
    <row r="3" spans="1:11" x14ac:dyDescent="0.25">
      <c r="A3" t="s">
        <v>7</v>
      </c>
      <c r="B3" t="s">
        <v>10</v>
      </c>
      <c r="C3" t="s">
        <v>9</v>
      </c>
      <c r="D3" t="str">
        <f>_xlfn.LET(_xlpm.x,VLOOKUP(C3,[1]!Table1[[#All],[Entry]:[Gene Ontology (GO)]],5,FALSE),IF(C3="NA","NA",IF(_xlpm.x="","NA",_xlpm.x)))</f>
        <v>LOC116287521</v>
      </c>
      <c r="E3" s="4" t="str">
        <f>_xlfn.LET(_xlpm.x,VLOOKUP(C3,[1]!Table1[[#All],[Entry]:[Gene Ontology (GO)]],4,FALSE),IF(C3="NA","NA",IF(_xlpm.x="","NA",_xlpm.x)))</f>
        <v>Uncharacterized protein LOC116287521</v>
      </c>
      <c r="F3" s="4" t="str">
        <f>_xlfn.LET(_xlpm.x,VLOOKUP(C3,[1]!Table1[[#All],[Entry]:[Gene Ontology (GO)]],8,FALSE),IF(C3="NA","NA",IF(_xlpm.x="","NA",_xlpm.x)))</f>
        <v>NA</v>
      </c>
      <c r="G3" s="3">
        <v>41.383945456517701</v>
      </c>
      <c r="H3" s="3">
        <v>4.6967084468393496</v>
      </c>
      <c r="I3" s="3">
        <v>0.78464221881671803</v>
      </c>
      <c r="J3" s="2">
        <v>3.4386385816881397E-11</v>
      </c>
      <c r="K3" s="2">
        <v>4.3680646093534002E-7</v>
      </c>
    </row>
    <row r="4" spans="1:11" x14ac:dyDescent="0.25">
      <c r="A4" t="s">
        <v>7</v>
      </c>
      <c r="B4" t="s">
        <v>11</v>
      </c>
      <c r="C4" t="s">
        <v>12</v>
      </c>
      <c r="D4" t="str">
        <f>_xlfn.LET(_xlpm.x,VLOOKUP(C4,[1]!Table1[[#All],[Entry]:[Gene Ontology (GO)]],5,FALSE),IF(C4="NA","NA",IF(_xlpm.x="","NA",_xlpm.x)))</f>
        <v>LOC116286539</v>
      </c>
      <c r="E4" s="4" t="str">
        <f>_xlfn.LET(_xlpm.x,VLOOKUP(C4,[1]!Table1[[#All],[Entry]:[Gene Ontology (GO)]],4,FALSE),IF(C4="NA","NA",IF(_xlpm.x="","NA",_xlpm.x)))</f>
        <v>Uncharacterized protein LOC116286539</v>
      </c>
      <c r="F4" s="4" t="str">
        <f>_xlfn.LET(_xlpm.x,VLOOKUP(C4,[1]!Table1[[#All],[Entry]:[Gene Ontology (GO)]],8,FALSE),IF(C4="NA","NA",IF(_xlpm.x="","NA",_xlpm.x)))</f>
        <v>NA</v>
      </c>
      <c r="G4" s="3">
        <v>19120.0956142168</v>
      </c>
      <c r="H4" s="3">
        <v>-1.2792981872118401</v>
      </c>
      <c r="I4" s="3">
        <v>0.20721323176516199</v>
      </c>
      <c r="J4" s="2">
        <v>4.7960303876075797E-11</v>
      </c>
      <c r="K4" s="2">
        <v>4.3680646093534002E-7</v>
      </c>
    </row>
    <row r="5" spans="1:11" ht="30" x14ac:dyDescent="0.25">
      <c r="A5" t="s">
        <v>7</v>
      </c>
      <c r="B5" t="s">
        <v>13</v>
      </c>
      <c r="C5" t="s">
        <v>14</v>
      </c>
      <c r="D5" t="str">
        <f>_xlfn.LET(_xlpm.x,VLOOKUP(C5,[1]!Table1[[#All],[Entry]:[Gene Ontology (GO)]],5,FALSE),IF(C5="NA","NA",IF(_xlpm.x="","NA",_xlpm.x)))</f>
        <v>LOC116305468</v>
      </c>
      <c r="E5" s="4" t="str">
        <f>_xlfn.LET(_xlpm.x,VLOOKUP(C5,[1]!Table1[[#All],[Entry]:[Gene Ontology (GO)]],4,FALSE),IF(C5="NA","NA",IF(_xlpm.x="","NA",_xlpm.x)))</f>
        <v>ETS domain-containing transcription factor ERF-like</v>
      </c>
      <c r="F5" s="4" t="str">
        <f>_xlfn.LET(_xlpm.x,VLOOKUP(C5,[1]!Table1[[#All],[Entry]:[Gene Ontology (GO)]],8,FALSE),IF(C5="NA","NA",IF(_xlpm.x="","NA",_xlpm.x)))</f>
        <v>nucleus [GO:0005634]; DNA-binding transcription factor activity, RNA polymerase II-specific [GO:0000981]; sequence-specific DNA binding [GO:0043565]; cell differentiation [GO:0030154]</v>
      </c>
      <c r="G5" s="3">
        <v>636.64971324713804</v>
      </c>
      <c r="H5" s="3">
        <v>-1.49751345483186</v>
      </c>
      <c r="I5" s="3">
        <v>0.28349467725642002</v>
      </c>
      <c r="J5" s="2">
        <v>3.01232594378764E-9</v>
      </c>
      <c r="K5" s="2">
        <v>2.0576445440527401E-5</v>
      </c>
    </row>
    <row r="6" spans="1:11" ht="30" x14ac:dyDescent="0.25">
      <c r="A6" t="s">
        <v>7</v>
      </c>
      <c r="B6" t="s">
        <v>15</v>
      </c>
      <c r="C6" t="s">
        <v>16</v>
      </c>
      <c r="D6" t="str">
        <f>_xlfn.LET(_xlpm.x,VLOOKUP(C6,[1]!Table1[[#All],[Entry]:[Gene Ontology (GO)]],5,FALSE),IF(C6="NA","NA",IF(_xlpm.x="","NA",_xlpm.x)))</f>
        <v>LOC116304274</v>
      </c>
      <c r="E6" s="4" t="str">
        <f>_xlfn.LET(_xlpm.x,VLOOKUP(C6,[1]!Table1[[#All],[Entry]:[Gene Ontology (GO)]],4,FALSE),IF(C6="NA","NA",IF(_xlpm.x="","NA",_xlpm.x)))</f>
        <v>Scavenger receptor cysteine-rich type 1 protein M160-like</v>
      </c>
      <c r="F6" s="4" t="str">
        <f>_xlfn.LET(_xlpm.x,VLOOKUP(C6,[1]!Table1[[#All],[Entry]:[Gene Ontology (GO)]],8,FALSE),IF(C6="NA","NA",IF(_xlpm.x="","NA",_xlpm.x)))</f>
        <v>membrane [GO:0016020]</v>
      </c>
      <c r="G6" s="3">
        <v>60.212015662733897</v>
      </c>
      <c r="H6" s="3">
        <v>-3.0277712218816601</v>
      </c>
      <c r="I6" s="3">
        <v>0.95659934935100199</v>
      </c>
      <c r="J6" s="2">
        <v>2.43200024615512E-8</v>
      </c>
      <c r="K6" s="2">
        <v>1.1074923787616001E-4</v>
      </c>
    </row>
    <row r="7" spans="1:11" x14ac:dyDescent="0.25">
      <c r="A7" t="s">
        <v>7</v>
      </c>
      <c r="B7" t="s">
        <v>17</v>
      </c>
      <c r="C7" t="s">
        <v>18</v>
      </c>
      <c r="D7" t="str">
        <f>_xlfn.LET(_xlpm.x,VLOOKUP(C7,[1]!Table1[[#All],[Entry]:[Gene Ontology (GO)]],5,FALSE),IF(C7="NA","NA",IF(_xlpm.x="","NA",_xlpm.x)))</f>
        <v>LOC116296164</v>
      </c>
      <c r="E7" s="4" t="str">
        <f>_xlfn.LET(_xlpm.x,VLOOKUP(C7,[1]!Table1[[#All],[Entry]:[Gene Ontology (GO)]],4,FALSE),IF(C7="NA","NA",IF(_xlpm.x="","NA",_xlpm.x)))</f>
        <v>Hemicentin-1-like</v>
      </c>
      <c r="F7" s="4" t="str">
        <f>_xlfn.LET(_xlpm.x,VLOOKUP(C7,[1]!Table1[[#All],[Entry]:[Gene Ontology (GO)]],8,FALSE),IF(C7="NA","NA",IF(_xlpm.x="","NA",_xlpm.x)))</f>
        <v>membrane [GO:0016020]</v>
      </c>
      <c r="G7" s="3">
        <v>17546.716256677599</v>
      </c>
      <c r="H7" s="3">
        <v>-1.43741446179411</v>
      </c>
      <c r="I7" s="3">
        <v>0.29009194318736198</v>
      </c>
      <c r="J7" s="2">
        <v>2.1190416111412699E-8</v>
      </c>
      <c r="K7" s="2">
        <v>1.1074923787616001E-4</v>
      </c>
    </row>
    <row r="8" spans="1:11" ht="30" x14ac:dyDescent="0.25">
      <c r="A8" t="s">
        <v>7</v>
      </c>
      <c r="B8" t="s">
        <v>19</v>
      </c>
      <c r="C8" t="s">
        <v>20</v>
      </c>
      <c r="D8" t="str">
        <f>_xlfn.LET(_xlpm.x,VLOOKUP(C8,[1]!Table1[[#All],[Entry]:[Gene Ontology (GO)]],5,FALSE),IF(C8="NA","NA",IF(_xlpm.x="","NA",_xlpm.x)))</f>
        <v>NA</v>
      </c>
      <c r="E8" s="4" t="str">
        <f>_xlfn.LET(_xlpm.x,VLOOKUP(C8,[1]!Table1[[#All],[Entry]:[Gene Ontology (GO)]],4,FALSE),IF(C8="NA","NA",IF(_xlpm.x="","NA",_xlpm.x)))</f>
        <v>ISXO2-like transposase domain-containing protein</v>
      </c>
      <c r="F8" s="4" t="str">
        <f>_xlfn.LET(_xlpm.x,VLOOKUP(C8,[1]!Table1[[#All],[Entry]:[Gene Ontology (GO)]],8,FALSE),IF(C8="NA","NA",IF(_xlpm.x="","NA",_xlpm.x)))</f>
        <v>NA</v>
      </c>
      <c r="G8" s="3">
        <v>46.977564827131999</v>
      </c>
      <c r="H8" s="3">
        <v>1.83850843430279</v>
      </c>
      <c r="I8" s="3">
        <v>0.481569627053891</v>
      </c>
      <c r="J8" s="2">
        <v>1.34636601242527E-7</v>
      </c>
      <c r="K8" s="2">
        <v>4.5983448196869402E-4</v>
      </c>
    </row>
    <row r="9" spans="1:11" x14ac:dyDescent="0.25">
      <c r="A9" t="s">
        <v>7</v>
      </c>
      <c r="B9" t="s">
        <v>21</v>
      </c>
      <c r="C9" t="s">
        <v>22</v>
      </c>
      <c r="D9" t="str">
        <f>_xlfn.LET(_xlpm.x,VLOOKUP(C9,[1]!Table1[[#All],[Entry]:[Gene Ontology (GO)]],5,FALSE),IF(C9="NA","NA",IF(_xlpm.x="","NA",_xlpm.x)))</f>
        <v>NA</v>
      </c>
      <c r="E9" s="4" t="str">
        <f>_xlfn.LET(_xlpm.x,VLOOKUP(C9,[1]!Table1[[#All],[Entry]:[Gene Ontology (GO)]],4,FALSE),IF(C9="NA","NA",IF(_xlpm.x="","NA",_xlpm.x)))</f>
        <v>Blue chromoprotein 2</v>
      </c>
      <c r="F9" s="4" t="str">
        <f>_xlfn.LET(_xlpm.x,VLOOKUP(C9,[1]!Table1[[#All],[Entry]:[Gene Ontology (GO)]],8,FALSE),IF(C9="NA","NA",IF(_xlpm.x="","NA",_xlpm.x)))</f>
        <v>bioluminescence [GO:0008218]</v>
      </c>
      <c r="G9" s="3">
        <v>286.04975407414003</v>
      </c>
      <c r="H9" s="3">
        <v>1.5073110980614199</v>
      </c>
      <c r="I9" s="3">
        <v>0.33865520153353601</v>
      </c>
      <c r="J9" s="2">
        <v>1.29121318130069E-7</v>
      </c>
      <c r="K9" s="2">
        <v>4.5983448196869402E-4</v>
      </c>
    </row>
    <row r="10" spans="1:11" x14ac:dyDescent="0.25">
      <c r="A10" t="s">
        <v>7</v>
      </c>
      <c r="B10" t="s">
        <v>23</v>
      </c>
      <c r="C10" t="s">
        <v>24</v>
      </c>
      <c r="D10" t="str">
        <f>_xlfn.LET(_xlpm.x,VLOOKUP(C10,[1]!Table1[[#All],[Entry]:[Gene Ontology (GO)]],5,FALSE),IF(C10="NA","NA",IF(_xlpm.x="","NA",_xlpm.x)))</f>
        <v>LOC116298417</v>
      </c>
      <c r="E10" s="4" t="str">
        <f>_xlfn.LET(_xlpm.x,VLOOKUP(C10,[1]!Table1[[#All],[Entry]:[Gene Ontology (GO)]],4,FALSE),IF(C10="NA","NA",IF(_xlpm.x="","NA",_xlpm.x)))</f>
        <v>Equistatin</v>
      </c>
      <c r="F10" s="4" t="str">
        <f>_xlfn.LET(_xlpm.x,VLOOKUP(C10,[1]!Table1[[#All],[Entry]:[Gene Ontology (GO)]],8,FALSE),IF(C10="NA","NA",IF(_xlpm.x="","NA",_xlpm.x)))</f>
        <v>extracellular space [GO:0005615]</v>
      </c>
      <c r="G10" s="3">
        <v>38.2666274513602</v>
      </c>
      <c r="H10" s="3">
        <v>-1.84895183106884</v>
      </c>
      <c r="I10" s="3">
        <v>0.51633916141264302</v>
      </c>
      <c r="J10" s="2">
        <v>2.2473394036809201E-7</v>
      </c>
      <c r="K10" s="2">
        <v>6.1936354889280095E-4</v>
      </c>
    </row>
    <row r="11" spans="1:11" ht="45" x14ac:dyDescent="0.25">
      <c r="A11" t="s">
        <v>7</v>
      </c>
      <c r="B11" t="s">
        <v>25</v>
      </c>
      <c r="C11" t="s">
        <v>26</v>
      </c>
      <c r="D11" t="str">
        <f>_xlfn.LET(_xlpm.x,VLOOKUP(C11,[1]!Table1[[#All],[Entry]:[Gene Ontology (GO)]],5,FALSE),IF(C11="NA","NA",IF(_xlpm.x="","NA",_xlpm.x)))</f>
        <v>LOC116298580</v>
      </c>
      <c r="E11" s="4" t="str">
        <f>_xlfn.LET(_xlpm.x,VLOOKUP(C11,[1]!Table1[[#All],[Entry]:[Gene Ontology (GO)]],4,FALSE),IF(C11="NA","NA",IF(_xlpm.x="","NA",_xlpm.x)))</f>
        <v>Mitochondrial glutamate carrier 2 (Glutamate/H(+) symporter 2) (Solute carrier family 25 member 18)</v>
      </c>
      <c r="F11" s="4" t="str">
        <f>_xlfn.LET(_xlpm.x,VLOOKUP(C11,[1]!Table1[[#All],[Entry]:[Gene Ontology (GO)]],8,FALSE),IF(C11="NA","NA",IF(_xlpm.x="","NA",_xlpm.x)))</f>
        <v>mitochondrial inner membrane [GO:0005743]; L-aspartate transmembrane transporter activity [GO:0015183]; L-glutamate transmembrane transporter activity [GO:0005313]; symporter activity [GO:0015293]; malate-aspartate shuttle [GO:0043490]</v>
      </c>
      <c r="G11" s="3">
        <v>1406.36035182457</v>
      </c>
      <c r="H11" s="3">
        <v>1.5962957118832799</v>
      </c>
      <c r="I11" s="3">
        <v>0.385157120305194</v>
      </c>
      <c r="J11" s="2">
        <v>2.2668211722461E-7</v>
      </c>
      <c r="K11" s="2">
        <v>6.1936354889280095E-4</v>
      </c>
    </row>
    <row r="12" spans="1:11" x14ac:dyDescent="0.25">
      <c r="A12" t="s">
        <v>7</v>
      </c>
      <c r="B12" t="s">
        <v>27</v>
      </c>
      <c r="C12" t="s">
        <v>28</v>
      </c>
      <c r="D12" t="str">
        <f>_xlfn.LET(_xlpm.x,VLOOKUP(C12,[1]!Table1[[#All],[Entry]:[Gene Ontology (GO)]],5,FALSE),IF(C12="NA","NA",IF(_xlpm.x="","NA",_xlpm.x)))</f>
        <v>LOC116290663</v>
      </c>
      <c r="E12" s="4" t="str">
        <f>_xlfn.LET(_xlpm.x,VLOOKUP(C12,[1]!Table1[[#All],[Entry]:[Gene Ontology (GO)]],4,FALSE),IF(C12="NA","NA",IF(_xlpm.x="","NA",_xlpm.x)))</f>
        <v>Homeobox protein OTX-like</v>
      </c>
      <c r="F12" s="4" t="str">
        <f>_xlfn.LET(_xlpm.x,VLOOKUP(C12,[1]!Table1[[#All],[Entry]:[Gene Ontology (GO)]],8,FALSE),IF(C12="NA","NA",IF(_xlpm.x="","NA",_xlpm.x)))</f>
        <v>nucleus [GO:0005634]; DNA-binding transcription factor activity, RNA polymerase II-specific [GO:0000981]; RNA polymerase II transcription regulatory region sequence-specific DNA binding [GO:0000977]</v>
      </c>
      <c r="G12" s="3">
        <v>17.927689546716302</v>
      </c>
      <c r="H12" s="3">
        <v>2.72154973595002</v>
      </c>
      <c r="I12" s="3">
        <v>1.20665941472972</v>
      </c>
      <c r="J12" s="2">
        <v>3.5117751332201797E-7</v>
      </c>
      <c r="K12" s="2">
        <v>8.6007012158984095E-4</v>
      </c>
    </row>
    <row r="13" spans="1:11" x14ac:dyDescent="0.25">
      <c r="A13" t="s">
        <v>7</v>
      </c>
      <c r="B13" t="s">
        <v>29</v>
      </c>
      <c r="C13" t="s">
        <v>30</v>
      </c>
      <c r="D13" t="str">
        <f>_xlfn.LET(_xlpm.x,VLOOKUP(C13,[1]!Table1[[#All],[Entry]:[Gene Ontology (GO)]],5,FALSE),IF(C13="NA","NA",IF(_xlpm.x="","NA",_xlpm.x)))</f>
        <v>LOC116289884</v>
      </c>
      <c r="E13" s="4" t="str">
        <f>_xlfn.LET(_xlpm.x,VLOOKUP(C13,[1]!Table1[[#All],[Entry]:[Gene Ontology (GO)]],4,FALSE),IF(C13="NA","NA",IF(_xlpm.x="","NA",_xlpm.x)))</f>
        <v>Fibroblast growth factor (FGF)</v>
      </c>
      <c r="F13" s="4" t="str">
        <f>_xlfn.LET(_xlpm.x,VLOOKUP(C13,[1]!Table1[[#All],[Entry]:[Gene Ontology (GO)]],8,FALSE),IF(C13="NA","NA",IF(_xlpm.x="","NA",_xlpm.x)))</f>
        <v>growth factor activity [GO:0008083]</v>
      </c>
      <c r="G13" s="3">
        <v>876.04214446315598</v>
      </c>
      <c r="H13" s="3">
        <v>1.3680059564283</v>
      </c>
      <c r="I13" s="3">
        <v>0.31587912574886101</v>
      </c>
      <c r="J13" s="2">
        <v>3.7773456278878902E-7</v>
      </c>
      <c r="K13" s="2">
        <v>8.6007012158984095E-4</v>
      </c>
    </row>
    <row r="14" spans="1:11" ht="30" x14ac:dyDescent="0.25">
      <c r="A14" t="s">
        <v>7</v>
      </c>
      <c r="B14" t="s">
        <v>31</v>
      </c>
      <c r="C14" t="s">
        <v>32</v>
      </c>
      <c r="D14" t="str">
        <f>_xlfn.LET(_xlpm.x,VLOOKUP(C14,[1]!Table1[[#All],[Entry]:[Gene Ontology (GO)]],5,FALSE),IF(C14="NA","NA",IF(_xlpm.x="","NA",_xlpm.x)))</f>
        <v>LOC116304867</v>
      </c>
      <c r="E14" s="4" t="str">
        <f>_xlfn.LET(_xlpm.x,VLOOKUP(C14,[1]!Table1[[#All],[Entry]:[Gene Ontology (GO)]],4,FALSE),IF(C14="NA","NA",IF(_xlpm.x="","NA",_xlpm.x)))</f>
        <v>Uncharacterized protein LOC116304867 isoform X1</v>
      </c>
      <c r="F14" s="4" t="str">
        <f>_xlfn.LET(_xlpm.x,VLOOKUP(C14,[1]!Table1[[#All],[Entry]:[Gene Ontology (GO)]],8,FALSE),IF(C14="NA","NA",IF(_xlpm.x="","NA",_xlpm.x)))</f>
        <v>NA</v>
      </c>
      <c r="G14" s="3">
        <v>909.30514464427404</v>
      </c>
      <c r="H14" s="3">
        <v>-1.3723228359845601</v>
      </c>
      <c r="I14" s="3">
        <v>0.32215234537320098</v>
      </c>
      <c r="J14" s="2">
        <v>4.6543280073916902E-7</v>
      </c>
      <c r="K14" s="2">
        <v>9.7823233958433189E-4</v>
      </c>
    </row>
    <row r="15" spans="1:11" x14ac:dyDescent="0.25">
      <c r="A15" t="s">
        <v>7</v>
      </c>
      <c r="B15" t="s">
        <v>33</v>
      </c>
      <c r="C15" t="s">
        <v>34</v>
      </c>
      <c r="D15" t="str">
        <f>_xlfn.LET(_xlpm.x,VLOOKUP(C15,[1]!Table1[[#All],[Entry]:[Gene Ontology (GO)]],5,FALSE),IF(C15="NA","NA",IF(_xlpm.x="","NA",_xlpm.x)))</f>
        <v>LOC116297048</v>
      </c>
      <c r="E15" s="4" t="str">
        <f>_xlfn.LET(_xlpm.x,VLOOKUP(C15,[1]!Table1[[#All],[Entry]:[Gene Ontology (GO)]],4,FALSE),IF(C15="NA","NA",IF(_xlpm.x="","NA",_xlpm.x)))</f>
        <v>Uncharacterized protein LOC116297048</v>
      </c>
      <c r="F15" s="4" t="str">
        <f>_xlfn.LET(_xlpm.x,VLOOKUP(C15,[1]!Table1[[#All],[Entry]:[Gene Ontology (GO)]],8,FALSE),IF(C15="NA","NA",IF(_xlpm.x="","NA",_xlpm.x)))</f>
        <v>extracellular region [GO:0005576]; chitin binding [GO:0008061]</v>
      </c>
      <c r="G15" s="3">
        <v>526.74639278969698</v>
      </c>
      <c r="H15" s="3">
        <v>-1.0280875978398101</v>
      </c>
      <c r="I15" s="3">
        <v>0.22980324753860101</v>
      </c>
      <c r="J15" s="2">
        <v>8.4014432261786295E-7</v>
      </c>
      <c r="K15" s="2">
        <v>1.63966166620628E-3</v>
      </c>
    </row>
    <row r="16" spans="1:11" x14ac:dyDescent="0.25">
      <c r="A16" t="s">
        <v>7</v>
      </c>
      <c r="B16" t="s">
        <v>35</v>
      </c>
      <c r="C16" t="s">
        <v>36</v>
      </c>
      <c r="D16" t="str">
        <f>_xlfn.LET(_xlpm.x,VLOOKUP(C16,[1]!Table1[[#All],[Entry]:[Gene Ontology (GO)]],5,FALSE),IF(C16="NA","NA",IF(_xlpm.x="","NA",_xlpm.x)))</f>
        <v>LOC116297351</v>
      </c>
      <c r="E16" s="4" t="str">
        <f>_xlfn.LET(_xlpm.x,VLOOKUP(C16,[1]!Table1[[#All],[Entry]:[Gene Ontology (GO)]],4,FALSE),IF(C16="NA","NA",IF(_xlpm.x="","NA",_xlpm.x)))</f>
        <v>Hemicentin-2-like</v>
      </c>
      <c r="F16" s="4" t="str">
        <f>_xlfn.LET(_xlpm.x,VLOOKUP(C16,[1]!Table1[[#All],[Entry]:[Gene Ontology (GO)]],8,FALSE),IF(C16="NA","NA",IF(_xlpm.x="","NA",_xlpm.x)))</f>
        <v>plasma membrane [GO:0005886]; homophilic cell adhesion via plasma membrane adhesion molecules [GO:0007156]</v>
      </c>
      <c r="G16" s="3">
        <v>829.47834451391395</v>
      </c>
      <c r="H16" s="3">
        <v>1.52064753346253</v>
      </c>
      <c r="I16" s="3">
        <v>0.41835859348222298</v>
      </c>
      <c r="J16" s="2">
        <v>1.13489383996057E-6</v>
      </c>
      <c r="K16" s="2">
        <v>2.0040615354894602E-3</v>
      </c>
    </row>
    <row r="17" spans="1:11" x14ac:dyDescent="0.25">
      <c r="A17" t="s">
        <v>7</v>
      </c>
      <c r="B17" t="s">
        <v>37</v>
      </c>
      <c r="C17" t="s">
        <v>38</v>
      </c>
      <c r="D17" t="str">
        <f>_xlfn.LET(_xlpm.x,VLOOKUP(C17,[1]!Table1[[#All],[Entry]:[Gene Ontology (GO)]],5,FALSE),IF(C17="NA","NA",IF(_xlpm.x="","NA",_xlpm.x)))</f>
        <v>NA</v>
      </c>
      <c r="E17" s="4" t="str">
        <f>_xlfn.LET(_xlpm.x,VLOOKUP(C17,[1]!Table1[[#All],[Entry]:[Gene Ontology (GO)]],4,FALSE),IF(C17="NA","NA",IF(_xlpm.x="","NA",_xlpm.x)))</f>
        <v>F5/8 type C domain-containing protein</v>
      </c>
      <c r="F17" s="4" t="str">
        <f>_xlfn.LET(_xlpm.x,VLOOKUP(C17,[1]!Table1[[#All],[Entry]:[Gene Ontology (GO)]],8,FALSE),IF(C17="NA","NA",IF(_xlpm.x="","NA",_xlpm.x)))</f>
        <v>NA</v>
      </c>
      <c r="G17" s="3">
        <v>504.36906180821802</v>
      </c>
      <c r="H17" s="3">
        <v>1.0120332945414301</v>
      </c>
      <c r="I17" s="3">
        <v>0.230714244001853</v>
      </c>
      <c r="J17" s="2">
        <v>1.1735528517304601E-6</v>
      </c>
      <c r="K17" s="2">
        <v>2.0040615354894602E-3</v>
      </c>
    </row>
    <row r="18" spans="1:11" x14ac:dyDescent="0.25">
      <c r="A18" t="s">
        <v>7</v>
      </c>
      <c r="B18" t="s">
        <v>39</v>
      </c>
      <c r="C18" t="s">
        <v>40</v>
      </c>
      <c r="D18" t="str">
        <f>_xlfn.LET(_xlpm.x,VLOOKUP(C18,[1]!Table1[[#All],[Entry]:[Gene Ontology (GO)]],5,FALSE),IF(C18="NA","NA",IF(_xlpm.x="","NA",_xlpm.x)))</f>
        <v>LOC116291011</v>
      </c>
      <c r="E18" s="4" t="str">
        <f>_xlfn.LET(_xlpm.x,VLOOKUP(C18,[1]!Table1[[#All],[Entry]:[Gene Ontology (GO)]],4,FALSE),IF(C18="NA","NA",IF(_xlpm.x="","NA",_xlpm.x)))</f>
        <v>Tenascin-like</v>
      </c>
      <c r="F18" s="4" t="str">
        <f>_xlfn.LET(_xlpm.x,VLOOKUP(C18,[1]!Table1[[#All],[Entry]:[Gene Ontology (GO)]],8,FALSE),IF(C18="NA","NA",IF(_xlpm.x="","NA",_xlpm.x)))</f>
        <v>NA</v>
      </c>
      <c r="G18" s="3">
        <v>739.78975715156605</v>
      </c>
      <c r="H18" s="3">
        <v>-1.39352042555331</v>
      </c>
      <c r="I18" s="3">
        <v>0.38030042354175397</v>
      </c>
      <c r="J18" s="2">
        <v>1.8659067319998201E-6</v>
      </c>
      <c r="K18" s="2">
        <v>2.9989511552018298E-3</v>
      </c>
    </row>
    <row r="19" spans="1:11" ht="30" x14ac:dyDescent="0.25">
      <c r="A19" t="s">
        <v>7</v>
      </c>
      <c r="B19" t="s">
        <v>41</v>
      </c>
      <c r="C19" t="s">
        <v>42</v>
      </c>
      <c r="D19" t="str">
        <f>_xlfn.LET(_xlpm.x,VLOOKUP(C19,[1]!Table1[[#All],[Entry]:[Gene Ontology (GO)]],5,FALSE),IF(C19="NA","NA",IF(_xlpm.x="","NA",_xlpm.x)))</f>
        <v>LOC116307630</v>
      </c>
      <c r="E19" s="4" t="str">
        <f>_xlfn.LET(_xlpm.x,VLOOKUP(C19,[1]!Table1[[#All],[Entry]:[Gene Ontology (GO)]],4,FALSE),IF(C19="NA","NA",IF(_xlpm.x="","NA",_xlpm.x)))</f>
        <v>Uncharacterized protein LOC116307630 isoform X1</v>
      </c>
      <c r="F19" s="4" t="str">
        <f>_xlfn.LET(_xlpm.x,VLOOKUP(C19,[1]!Table1[[#All],[Entry]:[Gene Ontology (GO)]],8,FALSE),IF(C19="NA","NA",IF(_xlpm.x="","NA",_xlpm.x)))</f>
        <v>NA</v>
      </c>
      <c r="G19" s="3">
        <v>301.727982069017</v>
      </c>
      <c r="H19" s="3">
        <v>1.52996557772784</v>
      </c>
      <c r="I19" s="3">
        <v>0.48643327457660701</v>
      </c>
      <c r="J19" s="2">
        <v>2.4120612707820499E-6</v>
      </c>
      <c r="K19" s="2">
        <v>3.66137500564322E-3</v>
      </c>
    </row>
    <row r="20" spans="1:11" ht="30" x14ac:dyDescent="0.25">
      <c r="A20" t="s">
        <v>7</v>
      </c>
      <c r="B20" t="s">
        <v>43</v>
      </c>
      <c r="C20" t="s">
        <v>42</v>
      </c>
      <c r="D20" t="str">
        <f>_xlfn.LET(_xlpm.x,VLOOKUP(C20,[1]!Table1[[#All],[Entry]:[Gene Ontology (GO)]],5,FALSE),IF(C20="NA","NA",IF(_xlpm.x="","NA",_xlpm.x)))</f>
        <v>LOC116307630</v>
      </c>
      <c r="E20" s="4" t="str">
        <f>_xlfn.LET(_xlpm.x,VLOOKUP(C20,[1]!Table1[[#All],[Entry]:[Gene Ontology (GO)]],4,FALSE),IF(C20="NA","NA",IF(_xlpm.x="","NA",_xlpm.x)))</f>
        <v>Uncharacterized protein LOC116307630 isoform X1</v>
      </c>
      <c r="F20" s="4" t="str">
        <f>_xlfn.LET(_xlpm.x,VLOOKUP(C20,[1]!Table1[[#All],[Entry]:[Gene Ontology (GO)]],8,FALSE),IF(C20="NA","NA",IF(_xlpm.x="","NA",_xlpm.x)))</f>
        <v>NA</v>
      </c>
      <c r="G20" s="3">
        <v>327.43111420146698</v>
      </c>
      <c r="H20" s="3">
        <v>1.4827423666973201</v>
      </c>
      <c r="I20" s="3">
        <v>0.49497962331553802</v>
      </c>
      <c r="J20" s="2">
        <v>3.61104536256206E-6</v>
      </c>
      <c r="K20" s="2">
        <v>5.0679984294129902E-3</v>
      </c>
    </row>
    <row r="21" spans="1:11" ht="30" x14ac:dyDescent="0.25">
      <c r="A21" t="s">
        <v>7</v>
      </c>
      <c r="B21" t="s">
        <v>44</v>
      </c>
      <c r="C21" t="s">
        <v>45</v>
      </c>
      <c r="D21" t="str">
        <f>_xlfn.LET(_xlpm.x,VLOOKUP(C21,[1]!Table1[[#All],[Entry]:[Gene Ontology (GO)]],5,FALSE),IF(C21="NA","NA",IF(_xlpm.x="","NA",_xlpm.x)))</f>
        <v>LOC116290330</v>
      </c>
      <c r="E21" s="4" t="str">
        <f>_xlfn.LET(_xlpm.x,VLOOKUP(C21,[1]!Table1[[#All],[Entry]:[Gene Ontology (GO)]],4,FALSE),IF(C21="NA","NA",IF(_xlpm.x="","NA",_xlpm.x)))</f>
        <v>Uncharacterized protein LOC116290330 isoform X1</v>
      </c>
      <c r="F21" s="4" t="str">
        <f>_xlfn.LET(_xlpm.x,VLOOKUP(C21,[1]!Table1[[#All],[Entry]:[Gene Ontology (GO)]],8,FALSE),IF(C21="NA","NA",IF(_xlpm.x="","NA",_xlpm.x)))</f>
        <v>NA</v>
      </c>
      <c r="G21" s="3">
        <v>156.12698904220699</v>
      </c>
      <c r="H21" s="3">
        <v>0.97258723651627399</v>
      </c>
      <c r="I21" s="3">
        <v>0.24317118456610901</v>
      </c>
      <c r="J21" s="2">
        <v>3.7096939790015701E-6</v>
      </c>
      <c r="K21" s="2">
        <v>5.0679984294129902E-3</v>
      </c>
    </row>
    <row r="22" spans="1:11" x14ac:dyDescent="0.25">
      <c r="A22" t="s">
        <v>7</v>
      </c>
      <c r="B22" t="s">
        <v>46</v>
      </c>
      <c r="C22" t="s">
        <v>47</v>
      </c>
      <c r="D22" t="str">
        <f>_xlfn.LET(_xlpm.x,VLOOKUP(C22,[1]!Table1[[#All],[Entry]:[Gene Ontology (GO)]],5,FALSE),IF(C22="NA","NA",IF(_xlpm.x="","NA",_xlpm.x)))</f>
        <v>LOC116303633</v>
      </c>
      <c r="E22" s="4" t="str">
        <f>_xlfn.LET(_xlpm.x,VLOOKUP(C22,[1]!Table1[[#All],[Entry]:[Gene Ontology (GO)]],4,FALSE),IF(C22="NA","NA",IF(_xlpm.x="","NA",_xlpm.x)))</f>
        <v>Uncharacterized protein LOC116303633</v>
      </c>
      <c r="F22" s="4" t="str">
        <f>_xlfn.LET(_xlpm.x,VLOOKUP(C22,[1]!Table1[[#All],[Entry]:[Gene Ontology (GO)]],8,FALSE),IF(C22="NA","NA",IF(_xlpm.x="","NA",_xlpm.x)))</f>
        <v>nucleus [GO:0005634]; DNA-binding transcription repressor activity, RNA polymerase II-specific [GO:0001227]; zinc ion binding [GO:0008270]; cellular developmental process [GO:0048869]</v>
      </c>
      <c r="G22" s="3">
        <v>25.189608398287199</v>
      </c>
      <c r="H22" s="3">
        <v>1.5792851569573401</v>
      </c>
      <c r="I22" s="3">
        <v>0.73578535968390002</v>
      </c>
      <c r="J22" s="2">
        <v>4.8937116472588099E-6</v>
      </c>
      <c r="K22" s="2">
        <v>6.36718492085964E-3</v>
      </c>
    </row>
    <row r="23" spans="1:11" x14ac:dyDescent="0.25">
      <c r="A23" t="s">
        <v>7</v>
      </c>
      <c r="B23" t="s">
        <v>48</v>
      </c>
      <c r="C23" t="s">
        <v>49</v>
      </c>
      <c r="D23" t="str">
        <f>_xlfn.LET(_xlpm.x,VLOOKUP(C23,[1]!Table1[[#All],[Entry]:[Gene Ontology (GO)]],5,FALSE),IF(C23="NA","NA",IF(_xlpm.x="","NA",_xlpm.x)))</f>
        <v>LOC116294921</v>
      </c>
      <c r="E23" s="4" t="str">
        <f>_xlfn.LET(_xlpm.x,VLOOKUP(C23,[1]!Table1[[#All],[Entry]:[Gene Ontology (GO)]],4,FALSE),IF(C23="NA","NA",IF(_xlpm.x="","NA",_xlpm.x)))</f>
        <v>Uncharacterized protein LOC116294921</v>
      </c>
      <c r="F23" s="4" t="str">
        <f>_xlfn.LET(_xlpm.x,VLOOKUP(C23,[1]!Table1[[#All],[Entry]:[Gene Ontology (GO)]],8,FALSE),IF(C23="NA","NA",IF(_xlpm.x="","NA",_xlpm.x)))</f>
        <v>NA</v>
      </c>
      <c r="G23" s="3">
        <v>488.70964169723902</v>
      </c>
      <c r="H23" s="3">
        <v>-1.0221267739072</v>
      </c>
      <c r="I23" s="3">
        <v>0.27274921380815997</v>
      </c>
      <c r="J23" s="2">
        <v>5.5873117793993196E-6</v>
      </c>
      <c r="K23" s="2">
        <v>6.9391872612967198E-3</v>
      </c>
    </row>
    <row r="24" spans="1:11" ht="30" x14ac:dyDescent="0.25">
      <c r="A24" t="s">
        <v>7</v>
      </c>
      <c r="B24" t="s">
        <v>50</v>
      </c>
      <c r="C24" t="s">
        <v>51</v>
      </c>
      <c r="D24" t="str">
        <f>_xlfn.LET(_xlpm.x,VLOOKUP(C24,[1]!Table1[[#All],[Entry]:[Gene Ontology (GO)]],5,FALSE),IF(C24="NA","NA",IF(_xlpm.x="","NA",_xlpm.x)))</f>
        <v>LOC116290329</v>
      </c>
      <c r="E24" s="4" t="str">
        <f>_xlfn.LET(_xlpm.x,VLOOKUP(C24,[1]!Table1[[#All],[Entry]:[Gene Ontology (GO)]],4,FALSE),IF(C24="NA","NA",IF(_xlpm.x="","NA",_xlpm.x)))</f>
        <v>Uncharacterized protein LOC116290329 isoform X2</v>
      </c>
      <c r="F24" s="4" t="str">
        <f>_xlfn.LET(_xlpm.x,VLOOKUP(C24,[1]!Table1[[#All],[Entry]:[Gene Ontology (GO)]],8,FALSE),IF(C24="NA","NA",IF(_xlpm.x="","NA",_xlpm.x)))</f>
        <v>NA</v>
      </c>
      <c r="G24" s="3">
        <v>54.112149552004603</v>
      </c>
      <c r="H24" s="3">
        <v>-1.52153603306789</v>
      </c>
      <c r="I24" s="3">
        <v>0.72248923923293795</v>
      </c>
      <c r="J24" s="2">
        <v>6.3582574905397399E-6</v>
      </c>
      <c r="K24" s="2">
        <v>7.2386112255840599E-3</v>
      </c>
    </row>
    <row r="25" spans="1:11" x14ac:dyDescent="0.25">
      <c r="A25" t="s">
        <v>7</v>
      </c>
      <c r="B25" t="s">
        <v>52</v>
      </c>
      <c r="C25" t="s">
        <v>53</v>
      </c>
      <c r="D25" t="str">
        <f>_xlfn.LET(_xlpm.x,VLOOKUP(C25,[1]!Table1[[#All],[Entry]:[Gene Ontology (GO)]],5,FALSE),IF(C25="NA","NA",IF(_xlpm.x="","NA",_xlpm.x)))</f>
        <v>LOC116287407</v>
      </c>
      <c r="E25" s="4" t="str">
        <f>_xlfn.LET(_xlpm.x,VLOOKUP(C25,[1]!Table1[[#All],[Entry]:[Gene Ontology (GO)]],4,FALSE),IF(C25="NA","NA",IF(_xlpm.x="","NA",_xlpm.x)))</f>
        <v>Uncharacterized protein LOC116287407</v>
      </c>
      <c r="F25" s="4" t="str">
        <f>_xlfn.LET(_xlpm.x,VLOOKUP(C25,[1]!Table1[[#All],[Entry]:[Gene Ontology (GO)]],8,FALSE),IF(C25="NA","NA",IF(_xlpm.x="","NA",_xlpm.x)))</f>
        <v>NA</v>
      </c>
      <c r="G25" s="3">
        <v>395.04422213376</v>
      </c>
      <c r="H25" s="3">
        <v>-1.3083948962354399</v>
      </c>
      <c r="I25" s="3">
        <v>0.41747441327711698</v>
      </c>
      <c r="J25" s="2">
        <v>6.2018579224634104E-6</v>
      </c>
      <c r="K25" s="2">
        <v>7.2386112255840599E-3</v>
      </c>
    </row>
    <row r="26" spans="1:11" x14ac:dyDescent="0.25">
      <c r="A26" t="s">
        <v>7</v>
      </c>
      <c r="B26" t="s">
        <v>54</v>
      </c>
      <c r="C26" t="s">
        <v>55</v>
      </c>
      <c r="D26" t="str">
        <f>_xlfn.LET(_xlpm.x,VLOOKUP(C26,[1]!Table1[[#All],[Entry]:[Gene Ontology (GO)]],5,FALSE),IF(C26="NA","NA",IF(_xlpm.x="","NA",_xlpm.x)))</f>
        <v>LOC116303300</v>
      </c>
      <c r="E26" s="4" t="str">
        <f>_xlfn.LET(_xlpm.x,VLOOKUP(C26,[1]!Table1[[#All],[Entry]:[Gene Ontology (GO)]],4,FALSE),IF(C26="NA","NA",IF(_xlpm.x="","NA",_xlpm.x)))</f>
        <v>Uncharacterized protein LOC116303300</v>
      </c>
      <c r="F26" s="4" t="str">
        <f>_xlfn.LET(_xlpm.x,VLOOKUP(C26,[1]!Table1[[#All],[Entry]:[Gene Ontology (GO)]],8,FALSE),IF(C26="NA","NA",IF(_xlpm.x="","NA",_xlpm.x)))</f>
        <v>NA</v>
      </c>
      <c r="G26" s="3">
        <v>308.54355454776902</v>
      </c>
      <c r="H26" s="3">
        <v>-1.43884524540782</v>
      </c>
      <c r="I26" s="3">
        <v>0.56738048821067799</v>
      </c>
      <c r="J26" s="2">
        <v>7.0138554922338004E-6</v>
      </c>
      <c r="K26" s="2">
        <v>7.5020983920517301E-3</v>
      </c>
    </row>
    <row r="27" spans="1:11" x14ac:dyDescent="0.25">
      <c r="A27" t="s">
        <v>7</v>
      </c>
      <c r="B27" t="s">
        <v>56</v>
      </c>
      <c r="C27" t="s">
        <v>57</v>
      </c>
      <c r="D27" t="str">
        <f>_xlfn.LET(_xlpm.x,VLOOKUP(C27,[1]!Table1[[#All],[Entry]:[Gene Ontology (GO)]],5,FALSE),IF(C27="NA","NA",IF(_xlpm.x="","NA",_xlpm.x)))</f>
        <v>LOC116302322</v>
      </c>
      <c r="E27" s="4" t="str">
        <f>_xlfn.LET(_xlpm.x,VLOOKUP(C27,[1]!Table1[[#All],[Entry]:[Gene Ontology (GO)]],4,FALSE),IF(C27="NA","NA",IF(_xlpm.x="","NA",_xlpm.x)))</f>
        <v>Probable calcium-binding protein CML16</v>
      </c>
      <c r="F27" s="4" t="str">
        <f>_xlfn.LET(_xlpm.x,VLOOKUP(C27,[1]!Table1[[#All],[Entry]:[Gene Ontology (GO)]],8,FALSE),IF(C27="NA","NA",IF(_xlpm.x="","NA",_xlpm.x)))</f>
        <v>calcium ion binding [GO:0005509]</v>
      </c>
      <c r="G27" s="3">
        <v>61.5101170559983</v>
      </c>
      <c r="H27" s="3">
        <v>-1.31236553826817</v>
      </c>
      <c r="I27" s="3">
        <v>0.44609751344010101</v>
      </c>
      <c r="J27" s="2">
        <v>7.8444797349146994E-6</v>
      </c>
      <c r="K27" s="2">
        <v>7.5020983920517301E-3</v>
      </c>
    </row>
    <row r="28" spans="1:11" ht="30" x14ac:dyDescent="0.25">
      <c r="A28" t="s">
        <v>7</v>
      </c>
      <c r="B28" t="s">
        <v>58</v>
      </c>
      <c r="C28" t="s">
        <v>59</v>
      </c>
      <c r="D28" t="str">
        <f>_xlfn.LET(_xlpm.x,VLOOKUP(C28,[1]!Table1[[#All],[Entry]:[Gene Ontology (GO)]],5,FALSE),IF(C28="NA","NA",IF(_xlpm.x="","NA",_xlpm.x)))</f>
        <v>LOC116304869</v>
      </c>
      <c r="E28" s="4" t="str">
        <f>_xlfn.LET(_xlpm.x,VLOOKUP(C28,[1]!Table1[[#All],[Entry]:[Gene Ontology (GO)]],4,FALSE),IF(C28="NA","NA",IF(_xlpm.x="","NA",_xlpm.x)))</f>
        <v>Uncharacterized protein LOC116304869 isoform X2</v>
      </c>
      <c r="F28" s="4" t="str">
        <f>_xlfn.LET(_xlpm.x,VLOOKUP(C28,[1]!Table1[[#All],[Entry]:[Gene Ontology (GO)]],8,FALSE),IF(C28="NA","NA",IF(_xlpm.x="","NA",_xlpm.x)))</f>
        <v>NA</v>
      </c>
      <c r="G28" s="3">
        <v>254.51777454153401</v>
      </c>
      <c r="H28" s="3">
        <v>-1.2835418724982599</v>
      </c>
      <c r="I28" s="3">
        <v>0.42442115918001899</v>
      </c>
      <c r="J28" s="2">
        <v>7.8910254239956499E-6</v>
      </c>
      <c r="K28" s="2">
        <v>7.5020983920517301E-3</v>
      </c>
    </row>
    <row r="29" spans="1:11" ht="30" x14ac:dyDescent="0.25">
      <c r="A29" t="s">
        <v>7</v>
      </c>
      <c r="B29" t="s">
        <v>60</v>
      </c>
      <c r="C29" t="s">
        <v>61</v>
      </c>
      <c r="D29" t="str">
        <f>_xlfn.LET(_xlpm.x,VLOOKUP(C29,[1]!Table1[[#All],[Entry]:[Gene Ontology (GO)]],5,FALSE),IF(C29="NA","NA",IF(_xlpm.x="","NA",_xlpm.x)))</f>
        <v>LOC116287833</v>
      </c>
      <c r="E29" s="4" t="str">
        <f>_xlfn.LET(_xlpm.x,VLOOKUP(C29,[1]!Table1[[#All],[Entry]:[Gene Ontology (GO)]],4,FALSE),IF(C29="NA","NA",IF(_xlpm.x="","NA",_xlpm.x)))</f>
        <v>Uncharacterized protein LOC116287833 isoform X1</v>
      </c>
      <c r="F29" s="4" t="str">
        <f>_xlfn.LET(_xlpm.x,VLOOKUP(C29,[1]!Table1[[#All],[Entry]:[Gene Ontology (GO)]],8,FALSE),IF(C29="NA","NA",IF(_xlpm.x="","NA",_xlpm.x)))</f>
        <v>NA</v>
      </c>
      <c r="G29" s="3">
        <v>595.66496627539198</v>
      </c>
      <c r="H29" s="3">
        <v>-0.96665834985107901</v>
      </c>
      <c r="I29" s="3">
        <v>0.26737047181451101</v>
      </c>
      <c r="J29" s="2">
        <v>8.2199628028805996E-6</v>
      </c>
      <c r="K29" s="2">
        <v>7.5020983920517301E-3</v>
      </c>
    </row>
    <row r="30" spans="1:11" x14ac:dyDescent="0.25">
      <c r="A30" t="s">
        <v>7</v>
      </c>
      <c r="B30" t="s">
        <v>62</v>
      </c>
      <c r="C30" t="s">
        <v>63</v>
      </c>
      <c r="D30" t="str">
        <f>_xlfn.LET(_xlpm.x,VLOOKUP(C30,[1]!Table1[[#All],[Entry]:[Gene Ontology (GO)]],5,FALSE),IF(C30="NA","NA",IF(_xlpm.x="","NA",_xlpm.x)))</f>
        <v>LOC116296292</v>
      </c>
      <c r="E30" s="4" t="str">
        <f>_xlfn.LET(_xlpm.x,VLOOKUP(C30,[1]!Table1[[#All],[Entry]:[Gene Ontology (GO)]],4,FALSE),IF(C30="NA","NA",IF(_xlpm.x="","NA",_xlpm.x)))</f>
        <v>Zinc finger protein 143-like isoform X2</v>
      </c>
      <c r="F30" s="4" t="str">
        <f>_xlfn.LET(_xlpm.x,VLOOKUP(C30,[1]!Table1[[#All],[Entry]:[Gene Ontology (GO)]],8,FALSE),IF(C30="NA","NA",IF(_xlpm.x="","NA",_xlpm.x)))</f>
        <v>nucleus [GO:0005634]; DNA binding [GO:0003677]; zinc ion binding [GO:0008270]</v>
      </c>
      <c r="G30" s="3">
        <v>152.36966489807199</v>
      </c>
      <c r="H30" s="3">
        <v>0.88920297623746603</v>
      </c>
      <c r="I30" s="3">
        <v>0.240020719625514</v>
      </c>
      <c r="J30" s="2">
        <v>8.2371244651594595E-6</v>
      </c>
      <c r="K30" s="2">
        <v>7.5020983920517301E-3</v>
      </c>
    </row>
    <row r="31" spans="1:11" x14ac:dyDescent="0.25">
      <c r="A31" t="s">
        <v>7</v>
      </c>
      <c r="B31" t="s">
        <v>64</v>
      </c>
      <c r="C31" t="s">
        <v>65</v>
      </c>
      <c r="D31" t="str">
        <f>_xlfn.LET(_xlpm.x,VLOOKUP(C31,[1]!Table1[[#All],[Entry]:[Gene Ontology (GO)]],5,FALSE),IF(C31="NA","NA",IF(_xlpm.x="","NA",_xlpm.x)))</f>
        <v>LOC116302515</v>
      </c>
      <c r="E31" s="4" t="str">
        <f>_xlfn.LET(_xlpm.x,VLOOKUP(C31,[1]!Table1[[#All],[Entry]:[Gene Ontology (GO)]],4,FALSE),IF(C31="NA","NA",IF(_xlpm.x="","NA",_xlpm.x)))</f>
        <v>Ectodysplasin-A-like isoform X1</v>
      </c>
      <c r="F31" s="4" t="str">
        <f>_xlfn.LET(_xlpm.x,VLOOKUP(C31,[1]!Table1[[#All],[Entry]:[Gene Ontology (GO)]],8,FALSE),IF(C31="NA","NA",IF(_xlpm.x="","NA",_xlpm.x)))</f>
        <v>extracellular space [GO:0005615]; membrane [GO:0016020]; cytokine activity [GO:0005125]; tumor necrosis factor receptor binding [GO:0005164]; immune response [GO:0006955]</v>
      </c>
      <c r="G31" s="3">
        <v>356.65625414533702</v>
      </c>
      <c r="H31" s="3">
        <v>-0.77982878376180997</v>
      </c>
      <c r="I31" s="3">
        <v>0.20133168437368101</v>
      </c>
      <c r="J31" s="2">
        <v>7.1399245368781903E-6</v>
      </c>
      <c r="K31" s="2">
        <v>7.5020983920517301E-3</v>
      </c>
    </row>
    <row r="32" spans="1:11" x14ac:dyDescent="0.25">
      <c r="A32" t="s">
        <v>7</v>
      </c>
      <c r="B32" t="s">
        <v>66</v>
      </c>
      <c r="C32" t="s">
        <v>67</v>
      </c>
      <c r="D32" t="str">
        <f>_xlfn.LET(_xlpm.x,VLOOKUP(C32,[1]!Table1[[#All],[Entry]:[Gene Ontology (GO)]],5,FALSE),IF(C32="NA","NA",IF(_xlpm.x="","NA",_xlpm.x)))</f>
        <v>LOC116289868</v>
      </c>
      <c r="E32" s="4" t="str">
        <f>_xlfn.LET(_xlpm.x,VLOOKUP(C32,[1]!Table1[[#All],[Entry]:[Gene Ontology (GO)]],4,FALSE),IF(C32="NA","NA",IF(_xlpm.x="","NA",_xlpm.x)))</f>
        <v>Uncharacterized protein LOC116289868</v>
      </c>
      <c r="F32" s="4" t="str">
        <f>_xlfn.LET(_xlpm.x,VLOOKUP(C32,[1]!Table1[[#All],[Entry]:[Gene Ontology (GO)]],8,FALSE),IF(C32="NA","NA",IF(_xlpm.x="","NA",_xlpm.x)))</f>
        <v>NA</v>
      </c>
      <c r="G32" s="3">
        <v>5354.77166668274</v>
      </c>
      <c r="H32" s="3">
        <v>1.24050611499618</v>
      </c>
      <c r="I32" s="3">
        <v>0.40879932617770798</v>
      </c>
      <c r="J32" s="2">
        <v>9.1125711341802007E-6</v>
      </c>
      <c r="K32" s="2">
        <v>8.0317026161033991E-3</v>
      </c>
    </row>
    <row r="33" spans="1:11" x14ac:dyDescent="0.25">
      <c r="A33" t="s">
        <v>7</v>
      </c>
      <c r="B33" t="s">
        <v>68</v>
      </c>
      <c r="C33" t="s">
        <v>69</v>
      </c>
      <c r="D33" t="str">
        <f>_xlfn.LET(_xlpm.x,VLOOKUP(C33,[1]!Table1[[#All],[Entry]:[Gene Ontology (GO)]],5,FALSE),IF(C33="NA","NA",IF(_xlpm.x="","NA",_xlpm.x)))</f>
        <v>LOC116296003</v>
      </c>
      <c r="E33" s="4" t="str">
        <f>_xlfn.LET(_xlpm.x,VLOOKUP(C33,[1]!Table1[[#All],[Entry]:[Gene Ontology (GO)]],4,FALSE),IF(C33="NA","NA",IF(_xlpm.x="","NA",_xlpm.x)))</f>
        <v>Uncharacterized protein LOC116296003</v>
      </c>
      <c r="F33" s="4" t="str">
        <f>_xlfn.LET(_xlpm.x,VLOOKUP(C33,[1]!Table1[[#All],[Entry]:[Gene Ontology (GO)]],8,FALSE),IF(C33="NA","NA",IF(_xlpm.x="","NA",_xlpm.x)))</f>
        <v>NA</v>
      </c>
      <c r="G33" s="3">
        <v>37.917201825891503</v>
      </c>
      <c r="H33" s="3">
        <v>1.2442929320763001</v>
      </c>
      <c r="I33" s="3">
        <v>0.426764261289859</v>
      </c>
      <c r="J33" s="2">
        <v>1.0468599782474001E-5</v>
      </c>
      <c r="K33" s="2">
        <v>8.9385484955167901E-3</v>
      </c>
    </row>
    <row r="34" spans="1:11" ht="30" x14ac:dyDescent="0.25">
      <c r="A34" t="s">
        <v>7</v>
      </c>
      <c r="B34" t="s">
        <v>70</v>
      </c>
      <c r="C34" t="s">
        <v>71</v>
      </c>
      <c r="D34" t="str">
        <f>_xlfn.LET(_xlpm.x,VLOOKUP(C34,[1]!Table1[[#All],[Entry]:[Gene Ontology (GO)]],5,FALSE),IF(C34="NA","NA",IF(_xlpm.x="","NA",_xlpm.x)))</f>
        <v>LOC116293477</v>
      </c>
      <c r="E34" s="4" t="str">
        <f>_xlfn.LET(_xlpm.x,VLOOKUP(C34,[1]!Table1[[#All],[Entry]:[Gene Ontology (GO)]],4,FALSE),IF(C34="NA","NA",IF(_xlpm.x="","NA",_xlpm.x)))</f>
        <v>WAS/WASL-interacting protein family member 3-like isoform X1</v>
      </c>
      <c r="F34" s="4" t="str">
        <f>_xlfn.LET(_xlpm.x,VLOOKUP(C34,[1]!Table1[[#All],[Entry]:[Gene Ontology (GO)]],8,FALSE),IF(C34="NA","NA",IF(_xlpm.x="","NA",_xlpm.x)))</f>
        <v>NA</v>
      </c>
      <c r="G34" s="3">
        <v>142.25426690691401</v>
      </c>
      <c r="H34" s="3">
        <v>1.1762439294454199</v>
      </c>
      <c r="I34" s="3">
        <v>0.39383833374496902</v>
      </c>
      <c r="J34" s="2">
        <v>1.2115701058885399E-5</v>
      </c>
      <c r="K34" s="2">
        <v>1.00314333343008E-2</v>
      </c>
    </row>
    <row r="35" spans="1:11" x14ac:dyDescent="0.25">
      <c r="A35" t="s">
        <v>7</v>
      </c>
      <c r="B35" t="s">
        <v>72</v>
      </c>
      <c r="C35" t="s">
        <v>73</v>
      </c>
      <c r="D35" t="str">
        <f>_xlfn.LET(_xlpm.x,VLOOKUP(C35,[1]!Table1[[#All],[Entry]:[Gene Ontology (GO)]],5,FALSE),IF(C35="NA","NA",IF(_xlpm.x="","NA",_xlpm.x)))</f>
        <v>LOC116295847</v>
      </c>
      <c r="E35" s="4" t="str">
        <f>_xlfn.LET(_xlpm.x,VLOOKUP(C35,[1]!Table1[[#All],[Entry]:[Gene Ontology (GO)]],4,FALSE),IF(C35="NA","NA",IF(_xlpm.x="","NA",_xlpm.x)))</f>
        <v>lysoplasmalogenase (EC 3.3.2.2)</v>
      </c>
      <c r="F35" s="4" t="str">
        <f>_xlfn.LET(_xlpm.x,VLOOKUP(C35,[1]!Table1[[#All],[Entry]:[Gene Ontology (GO)]],8,FALSE),IF(C35="NA","NA",IF(_xlpm.x="","NA",_xlpm.x)))</f>
        <v>membrane [GO:0016020]; alkenylglycerophosphocholine hydrolase activity [GO:0047408]</v>
      </c>
      <c r="G35" s="3">
        <v>208.85228243126801</v>
      </c>
      <c r="H35" s="3">
        <v>-0.73969249642707202</v>
      </c>
      <c r="I35" s="3">
        <v>0.21157937653193601</v>
      </c>
      <c r="J35" s="2">
        <v>1.5019835128017601E-5</v>
      </c>
      <c r="K35" s="2">
        <v>1.2070204564789E-2</v>
      </c>
    </row>
    <row r="36" spans="1:11" x14ac:dyDescent="0.25">
      <c r="A36" t="s">
        <v>7</v>
      </c>
      <c r="B36" t="s">
        <v>74</v>
      </c>
      <c r="C36" t="s">
        <v>75</v>
      </c>
      <c r="D36" t="str">
        <f>_xlfn.LET(_xlpm.x,VLOOKUP(C36,[1]!Table1[[#All],[Entry]:[Gene Ontology (GO)]],5,FALSE),IF(C36="NA","NA",IF(_xlpm.x="","NA",_xlpm.x)))</f>
        <v>LOC116297422</v>
      </c>
      <c r="E36" s="4" t="str">
        <f>_xlfn.LET(_xlpm.x,VLOOKUP(C36,[1]!Table1[[#All],[Entry]:[Gene Ontology (GO)]],4,FALSE),IF(C36="NA","NA",IF(_xlpm.x="","NA",_xlpm.x)))</f>
        <v>Uncharacterized protein LOC116297422</v>
      </c>
      <c r="F36" s="4" t="str">
        <f>_xlfn.LET(_xlpm.x,VLOOKUP(C36,[1]!Table1[[#All],[Entry]:[Gene Ontology (GO)]],8,FALSE),IF(C36="NA","NA",IF(_xlpm.x="","NA",_xlpm.x)))</f>
        <v>cytosol [GO:0005829]; ATP binding [GO:0005524]</v>
      </c>
      <c r="G36" s="3">
        <v>533.99172123270296</v>
      </c>
      <c r="H36" s="3">
        <v>0.84705000684211595</v>
      </c>
      <c r="I36" s="3">
        <v>0.25051889655413601</v>
      </c>
      <c r="J36" s="2">
        <v>1.5578803699506702E-5</v>
      </c>
      <c r="K36" s="2">
        <v>1.2161704385189201E-2</v>
      </c>
    </row>
    <row r="37" spans="1:11" x14ac:dyDescent="0.25">
      <c r="A37" t="s">
        <v>7</v>
      </c>
      <c r="B37" t="s">
        <v>76</v>
      </c>
      <c r="C37" t="s">
        <v>77</v>
      </c>
      <c r="D37" t="str">
        <f>_xlfn.LET(_xlpm.x,VLOOKUP(C37,[1]!Table1[[#All],[Entry]:[Gene Ontology (GO)]],5,FALSE),IF(C37="NA","NA",IF(_xlpm.x="","NA",_xlpm.x)))</f>
        <v>LOC116300558</v>
      </c>
      <c r="E37" s="4" t="str">
        <f>_xlfn.LET(_xlpm.x,VLOOKUP(C37,[1]!Table1[[#All],[Entry]:[Gene Ontology (GO)]],4,FALSE),IF(C37="NA","NA",IF(_xlpm.x="","NA",_xlpm.x)))</f>
        <v>Uncharacterized protein LOC116300558</v>
      </c>
      <c r="F37" s="4" t="str">
        <f>_xlfn.LET(_xlpm.x,VLOOKUP(C37,[1]!Table1[[#All],[Entry]:[Gene Ontology (GO)]],8,FALSE),IF(C37="NA","NA",IF(_xlpm.x="","NA",_xlpm.x)))</f>
        <v>NA</v>
      </c>
      <c r="G37" s="3">
        <v>445.98502842921198</v>
      </c>
      <c r="H37" s="3">
        <v>0.89555128247285798</v>
      </c>
      <c r="I37" s="3">
        <v>0.27086672385553001</v>
      </c>
      <c r="J37" s="2">
        <v>1.6053490379542701E-5</v>
      </c>
      <c r="K37" s="2">
        <v>1.21841532677846E-2</v>
      </c>
    </row>
    <row r="38" spans="1:11" x14ac:dyDescent="0.25">
      <c r="A38" t="s">
        <v>7</v>
      </c>
      <c r="B38" t="s">
        <v>78</v>
      </c>
      <c r="C38" t="s">
        <v>79</v>
      </c>
      <c r="D38" t="str">
        <f>_xlfn.LET(_xlpm.x,VLOOKUP(C38,[1]!Table1[[#All],[Entry]:[Gene Ontology (GO)]],5,FALSE),IF(C38="NA","NA",IF(_xlpm.x="","NA",_xlpm.x)))</f>
        <v>LOC116308307</v>
      </c>
      <c r="E38" s="4" t="str">
        <f>_xlfn.LET(_xlpm.x,VLOOKUP(C38,[1]!Table1[[#All],[Entry]:[Gene Ontology (GO)]],4,FALSE),IF(C38="NA","NA",IF(_xlpm.x="","NA",_xlpm.x)))</f>
        <v>Uncharacterized protein LOC116308307</v>
      </c>
      <c r="F38" s="4" t="str">
        <f>_xlfn.LET(_xlpm.x,VLOOKUP(C38,[1]!Table1[[#All],[Entry]:[Gene Ontology (GO)]],8,FALSE),IF(C38="NA","NA",IF(_xlpm.x="","NA",_xlpm.x)))</f>
        <v>membrane [GO:0016020]</v>
      </c>
      <c r="G38" s="3">
        <v>1044.46226936683</v>
      </c>
      <c r="H38" s="3">
        <v>-1.1404074055985001</v>
      </c>
      <c r="I38" s="3">
        <v>0.40375547499290498</v>
      </c>
      <c r="J38" s="2">
        <v>1.6755319169578101E-5</v>
      </c>
      <c r="K38" s="2">
        <v>1.23731239370373E-2</v>
      </c>
    </row>
    <row r="39" spans="1:11" x14ac:dyDescent="0.25">
      <c r="A39" t="s">
        <v>7</v>
      </c>
      <c r="B39" t="s">
        <v>80</v>
      </c>
      <c r="C39" t="s">
        <v>81</v>
      </c>
      <c r="D39" t="str">
        <f>_xlfn.LET(_xlpm.x,VLOOKUP(C39,[1]!Table1[[#All],[Entry]:[Gene Ontology (GO)]],5,FALSE),IF(C39="NA","NA",IF(_xlpm.x="","NA",_xlpm.x)))</f>
        <v>LOC116301420</v>
      </c>
      <c r="E39" s="4" t="str">
        <f>_xlfn.LET(_xlpm.x,VLOOKUP(C39,[1]!Table1[[#All],[Entry]:[Gene Ontology (GO)]],4,FALSE),IF(C39="NA","NA",IF(_xlpm.x="","NA",_xlpm.x)))</f>
        <v>Uncharacterized protein LOC116301420</v>
      </c>
      <c r="F39" s="4" t="str">
        <f>_xlfn.LET(_xlpm.x,VLOOKUP(C39,[1]!Table1[[#All],[Entry]:[Gene Ontology (GO)]],8,FALSE),IF(C39="NA","NA",IF(_xlpm.x="","NA",_xlpm.x)))</f>
        <v>membrane [GO:0016020]; oxidoreductase activity [GO:0016491]</v>
      </c>
      <c r="G39" s="3">
        <v>5671.45617331842</v>
      </c>
      <c r="H39" s="3">
        <v>-1.1217847336239499</v>
      </c>
      <c r="I39" s="3">
        <v>0.40959864846798999</v>
      </c>
      <c r="J39" s="2">
        <v>1.9748996209735999E-5</v>
      </c>
      <c r="K39" s="2">
        <v>1.36780053176331E-2</v>
      </c>
    </row>
    <row r="40" spans="1:11" x14ac:dyDescent="0.25">
      <c r="A40" t="s">
        <v>7</v>
      </c>
      <c r="B40" t="s">
        <v>82</v>
      </c>
      <c r="C40" t="s">
        <v>83</v>
      </c>
      <c r="D40" t="str">
        <f>_xlfn.LET(_xlpm.x,VLOOKUP(C40,[1]!Table1[[#All],[Entry]:[Gene Ontology (GO)]],5,FALSE),IF(C40="NA","NA",IF(_xlpm.x="","NA",_xlpm.x)))</f>
        <v>NA</v>
      </c>
      <c r="E40" s="4" t="str">
        <f>_xlfn.LET(_xlpm.x,VLOOKUP(C40,[1]!Table1[[#All],[Entry]:[Gene Ontology (GO)]],4,FALSE),IF(C40="NA","NA",IF(_xlpm.x="","NA",_xlpm.x)))</f>
        <v>NA</v>
      </c>
      <c r="F40" s="4" t="str">
        <f>_xlfn.LET(_xlpm.x,VLOOKUP(C40,[1]!Table1[[#All],[Entry]:[Gene Ontology (GO)]],8,FALSE),IF(C40="NA","NA",IF(_xlpm.x="","NA",_xlpm.x)))</f>
        <v>NA</v>
      </c>
      <c r="G40" s="3">
        <v>58.651542915247198</v>
      </c>
      <c r="H40" s="3">
        <v>1.07197614643995</v>
      </c>
      <c r="I40" s="3">
        <v>0.37607234993204203</v>
      </c>
      <c r="J40" s="2">
        <v>2.0024163258255801E-5</v>
      </c>
      <c r="K40" s="2">
        <v>1.36780053176331E-2</v>
      </c>
    </row>
    <row r="41" spans="1:11" x14ac:dyDescent="0.25">
      <c r="A41" t="s">
        <v>7</v>
      </c>
      <c r="B41" t="s">
        <v>84</v>
      </c>
      <c r="C41" t="s">
        <v>85</v>
      </c>
      <c r="D41" t="str">
        <f>_xlfn.LET(_xlpm.x,VLOOKUP(C41,[1]!Table1[[#All],[Entry]:[Gene Ontology (GO)]],5,FALSE),IF(C41="NA","NA",IF(_xlpm.x="","NA",_xlpm.x)))</f>
        <v>LOC116288027</v>
      </c>
      <c r="E41" s="4" t="str">
        <f>_xlfn.LET(_xlpm.x,VLOOKUP(C41,[1]!Table1[[#All],[Entry]:[Gene Ontology (GO)]],4,FALSE),IF(C41="NA","NA",IF(_xlpm.x="","NA",_xlpm.x)))</f>
        <v>Homeobox protein SIX6-like</v>
      </c>
      <c r="F41" s="4" t="str">
        <f>_xlfn.LET(_xlpm.x,VLOOKUP(C41,[1]!Table1[[#All],[Entry]:[Gene Ontology (GO)]],8,FALSE),IF(C41="NA","NA",IF(_xlpm.x="","NA",_xlpm.x)))</f>
        <v>nucleus [GO:0005634]; transcription regulator complex [GO:0005667]; DNA-binding transcription factor activity, RNA polymerase II-specific [GO:0000981]; RNA polymerase II cis-regulatory region sequence-specific DNA binding [GO:0000978]</v>
      </c>
      <c r="G41" s="3">
        <v>2246.40328840047</v>
      </c>
      <c r="H41" s="3">
        <v>-0.90962649904898996</v>
      </c>
      <c r="I41" s="3">
        <v>0.288326789749351</v>
      </c>
      <c r="J41" s="2">
        <v>1.9641267788953302E-5</v>
      </c>
      <c r="K41" s="2">
        <v>1.36780053176331E-2</v>
      </c>
    </row>
    <row r="42" spans="1:11" x14ac:dyDescent="0.25">
      <c r="A42" t="s">
        <v>7</v>
      </c>
      <c r="B42" t="s">
        <v>86</v>
      </c>
      <c r="C42" t="s">
        <v>87</v>
      </c>
      <c r="D42" t="str">
        <f>_xlfn.LET(_xlpm.x,VLOOKUP(C42,[1]!Table1[[#All],[Entry]:[Gene Ontology (GO)]],5,FALSE),IF(C42="NA","NA",IF(_xlpm.x="","NA",_xlpm.x)))</f>
        <v>NA</v>
      </c>
      <c r="E42" s="4" t="str">
        <f>_xlfn.LET(_xlpm.x,VLOOKUP(C42,[1]!Table1[[#All],[Entry]:[Gene Ontology (GO)]],4,FALSE),IF(C42="NA","NA",IF(_xlpm.x="","NA",_xlpm.x)))</f>
        <v>Uncharacterized protein</v>
      </c>
      <c r="F42" s="4" t="str">
        <f>_xlfn.LET(_xlpm.x,VLOOKUP(C42,[1]!Table1[[#All],[Entry]:[Gene Ontology (GO)]],8,FALSE),IF(C42="NA","NA",IF(_xlpm.x="","NA",_xlpm.x)))</f>
        <v>cytoplasm [GO:0005737]; nucleus [GO:0005634]; regulation of RNA splicing [GO:0043484]</v>
      </c>
      <c r="G42" s="3">
        <v>46.2344665078354</v>
      </c>
      <c r="H42" s="3">
        <v>-1.07888737299716</v>
      </c>
      <c r="I42" s="3">
        <v>0.40745962158032001</v>
      </c>
      <c r="J42" s="2">
        <v>2.5170831556627401E-5</v>
      </c>
      <c r="K42" s="2">
        <v>1.6774210502969001E-2</v>
      </c>
    </row>
    <row r="43" spans="1:11" x14ac:dyDescent="0.25">
      <c r="A43" t="s">
        <v>7</v>
      </c>
      <c r="B43" t="s">
        <v>88</v>
      </c>
      <c r="C43" t="s">
        <v>89</v>
      </c>
      <c r="D43" t="str">
        <f>_xlfn.LET(_xlpm.x,VLOOKUP(C43,[1]!Table1[[#All],[Entry]:[Gene Ontology (GO)]],5,FALSE),IF(C43="NA","NA",IF(_xlpm.x="","NA",_xlpm.x)))</f>
        <v>LOC116287404</v>
      </c>
      <c r="E43" s="4" t="str">
        <f>_xlfn.LET(_xlpm.x,VLOOKUP(C43,[1]!Table1[[#All],[Entry]:[Gene Ontology (GO)]],4,FALSE),IF(C43="NA","NA",IF(_xlpm.x="","NA",_xlpm.x)))</f>
        <v>Uncharacterized protein LOC116287404</v>
      </c>
      <c r="F43" s="4" t="str">
        <f>_xlfn.LET(_xlpm.x,VLOOKUP(C43,[1]!Table1[[#All],[Entry]:[Gene Ontology (GO)]],8,FALSE),IF(C43="NA","NA",IF(_xlpm.x="","NA",_xlpm.x)))</f>
        <v>NA</v>
      </c>
      <c r="G43" s="3">
        <v>906.191536675159</v>
      </c>
      <c r="H43" s="3">
        <v>-0.912412330993284</v>
      </c>
      <c r="I43" s="3">
        <v>0.30884798924086498</v>
      </c>
      <c r="J43" s="2">
        <v>2.6018035443079899E-5</v>
      </c>
      <c r="K43" s="2">
        <v>1.69259710097922E-2</v>
      </c>
    </row>
    <row r="44" spans="1:11" ht="30" x14ac:dyDescent="0.25">
      <c r="A44" t="s">
        <v>7</v>
      </c>
      <c r="B44" t="s">
        <v>90</v>
      </c>
      <c r="C44" t="s">
        <v>91</v>
      </c>
      <c r="D44" t="str">
        <f>_xlfn.LET(_xlpm.x,VLOOKUP(C44,[1]!Table1[[#All],[Entry]:[Gene Ontology (GO)]],5,FALSE),IF(C44="NA","NA",IF(_xlpm.x="","NA",_xlpm.x)))</f>
        <v>LOC116287085</v>
      </c>
      <c r="E44" s="4" t="str">
        <f>_xlfn.LET(_xlpm.x,VLOOKUP(C44,[1]!Table1[[#All],[Entry]:[Gene Ontology (GO)]],4,FALSE),IF(C44="NA","NA",IF(_xlpm.x="","NA",_xlpm.x)))</f>
        <v>Homeobox protein Nkx-3.2 (Bagpipe homeobox protein homolog 1)</v>
      </c>
      <c r="F44" s="4" t="str">
        <f>_xlfn.LET(_xlpm.x,VLOOKUP(C44,[1]!Table1[[#All],[Entry]:[Gene Ontology (GO)]],8,FALSE),IF(C44="NA","NA",IF(_xlpm.x="","NA",_xlpm.x)))</f>
        <v>nucleus [GO:0005634]; DNA-binding transcription factor activity, RNA polymerase II-specific [GO:0000981]; RNA polymerase II cis-regulatory region sequence-specific DNA binding [GO:0000978]; cell differentiation [GO:0030154]; system development [GO:0048731]</v>
      </c>
      <c r="G44" s="3">
        <v>52.805046984538102</v>
      </c>
      <c r="H44" s="3">
        <v>-1.0999607550775301</v>
      </c>
      <c r="I44" s="3">
        <v>0.45248653619820101</v>
      </c>
      <c r="J44" s="2">
        <v>2.9953040008122401E-5</v>
      </c>
      <c r="K44" s="2">
        <v>1.9032718887021599E-2</v>
      </c>
    </row>
    <row r="45" spans="1:11" x14ac:dyDescent="0.25">
      <c r="A45" t="s">
        <v>7</v>
      </c>
      <c r="B45" t="s">
        <v>92</v>
      </c>
      <c r="C45" t="s">
        <v>93</v>
      </c>
      <c r="D45" t="str">
        <f>_xlfn.LET(_xlpm.x,VLOOKUP(C45,[1]!Table1[[#All],[Entry]:[Gene Ontology (GO)]],5,FALSE),IF(C45="NA","NA",IF(_xlpm.x="","NA",_xlpm.x)))</f>
        <v>LOC116287832</v>
      </c>
      <c r="E45" s="4" t="str">
        <f>_xlfn.LET(_xlpm.x,VLOOKUP(C45,[1]!Table1[[#All],[Entry]:[Gene Ontology (GO)]],4,FALSE),IF(C45="NA","NA",IF(_xlpm.x="","NA",_xlpm.x)))</f>
        <v>Uncharacterized protein LOC116287832</v>
      </c>
      <c r="F45" s="4" t="str">
        <f>_xlfn.LET(_xlpm.x,VLOOKUP(C45,[1]!Table1[[#All],[Entry]:[Gene Ontology (GO)]],8,FALSE),IF(C45="NA","NA",IF(_xlpm.x="","NA",_xlpm.x)))</f>
        <v>cell periphery [GO:0071944]; membrane [GO:0016020]</v>
      </c>
      <c r="G45" s="3">
        <v>128.990034311382</v>
      </c>
      <c r="H45" s="3">
        <v>-1.14241076640783</v>
      </c>
      <c r="I45" s="3">
        <v>0.63843553590293201</v>
      </c>
      <c r="J45" s="2">
        <v>3.9698438354823297E-5</v>
      </c>
      <c r="K45" s="2">
        <v>2.1268243748408602E-2</v>
      </c>
    </row>
    <row r="46" spans="1:11" x14ac:dyDescent="0.25">
      <c r="A46" t="s">
        <v>7</v>
      </c>
      <c r="B46" t="s">
        <v>94</v>
      </c>
      <c r="C46" t="s">
        <v>95</v>
      </c>
      <c r="D46" t="str">
        <f>_xlfn.LET(_xlpm.x,VLOOKUP(C46,[1]!Table1[[#All],[Entry]:[Gene Ontology (GO)]],5,FALSE),IF(C46="NA","NA",IF(_xlpm.x="","NA",_xlpm.x)))</f>
        <v>PACLA_8A045298</v>
      </c>
      <c r="E46" s="4" t="str">
        <f>_xlfn.LET(_xlpm.x,VLOOKUP(C46,[1]!Table1[[#All],[Entry]:[Gene Ontology (GO)]],4,FALSE),IF(C46="NA","NA",IF(_xlpm.x="","NA",_xlpm.x)))</f>
        <v>94 secreted antigen</v>
      </c>
      <c r="F46" s="4" t="str">
        <f>_xlfn.LET(_xlpm.x,VLOOKUP(C46,[1]!Table1[[#All],[Entry]:[Gene Ontology (GO)]],8,FALSE),IF(C46="NA","NA",IF(_xlpm.x="","NA",_xlpm.x)))</f>
        <v>NA</v>
      </c>
      <c r="G46" s="3">
        <v>21.303881925706001</v>
      </c>
      <c r="H46" s="3">
        <v>1.13161067159281</v>
      </c>
      <c r="I46" s="3">
        <v>0.58128382539368295</v>
      </c>
      <c r="J46" s="2">
        <v>3.9501176631153802E-5</v>
      </c>
      <c r="K46" s="2">
        <v>2.1268243748408602E-2</v>
      </c>
    </row>
    <row r="47" spans="1:11" x14ac:dyDescent="0.25">
      <c r="A47" t="s">
        <v>7</v>
      </c>
      <c r="B47" t="s">
        <v>96</v>
      </c>
      <c r="C47" t="s">
        <v>97</v>
      </c>
      <c r="D47" t="str">
        <f>_xlfn.LET(_xlpm.x,VLOOKUP(C47,[1]!Table1[[#All],[Entry]:[Gene Ontology (GO)]],5,FALSE),IF(C47="NA","NA",IF(_xlpm.x="","NA",_xlpm.x)))</f>
        <v>NEMVEDRAFT_v1g244269</v>
      </c>
      <c r="E47" s="4" t="str">
        <f>_xlfn.LET(_xlpm.x,VLOOKUP(C47,[1]!Table1[[#All],[Entry]:[Gene Ontology (GO)]],4,FALSE),IF(C47="NA","NA",IF(_xlpm.x="","NA",_xlpm.x)))</f>
        <v>Uncharacterized protein</v>
      </c>
      <c r="F47" s="4" t="str">
        <f>_xlfn.LET(_xlpm.x,VLOOKUP(C47,[1]!Table1[[#All],[Entry]:[Gene Ontology (GO)]],8,FALSE),IF(C47="NA","NA",IF(_xlpm.x="","NA",_xlpm.x)))</f>
        <v>NA</v>
      </c>
      <c r="G47" s="3">
        <v>45.159418129061599</v>
      </c>
      <c r="H47" s="3">
        <v>1.1288823918570301</v>
      </c>
      <c r="I47" s="3">
        <v>0.768345935910275</v>
      </c>
      <c r="J47" s="2">
        <v>3.8370683737175703E-5</v>
      </c>
      <c r="K47" s="2">
        <v>2.1268243748408602E-2</v>
      </c>
    </row>
    <row r="48" spans="1:11" x14ac:dyDescent="0.25">
      <c r="A48" t="s">
        <v>7</v>
      </c>
      <c r="B48" t="s">
        <v>98</v>
      </c>
      <c r="C48" t="s">
        <v>99</v>
      </c>
      <c r="D48" t="str">
        <f>_xlfn.LET(_xlpm.x,VLOOKUP(C48,[1]!Table1[[#All],[Entry]:[Gene Ontology (GO)]],5,FALSE),IF(C48="NA","NA",IF(_xlpm.x="","NA",_xlpm.x)))</f>
        <v>LOC116288275</v>
      </c>
      <c r="E48" s="4" t="str">
        <f>_xlfn.LET(_xlpm.x,VLOOKUP(C48,[1]!Table1[[#All],[Entry]:[Gene Ontology (GO)]],4,FALSE),IF(C48="NA","NA",IF(_xlpm.x="","NA",_xlpm.x)))</f>
        <v>Uncharacterized protein LOC116288275</v>
      </c>
      <c r="F48" s="4" t="str">
        <f>_xlfn.LET(_xlpm.x,VLOOKUP(C48,[1]!Table1[[#All],[Entry]:[Gene Ontology (GO)]],8,FALSE),IF(C48="NA","NA",IF(_xlpm.x="","NA",_xlpm.x)))</f>
        <v>NA</v>
      </c>
      <c r="G48" s="3">
        <v>73.696445126536304</v>
      </c>
      <c r="H48" s="3">
        <v>1.1157407238735699</v>
      </c>
      <c r="I48" s="3">
        <v>0.80842195391077398</v>
      </c>
      <c r="J48" s="2">
        <v>3.7548129410140698E-5</v>
      </c>
      <c r="K48" s="2">
        <v>2.1268243748408602E-2</v>
      </c>
    </row>
    <row r="49" spans="1:11" ht="30" x14ac:dyDescent="0.25">
      <c r="A49" t="s">
        <v>7</v>
      </c>
      <c r="B49" t="s">
        <v>100</v>
      </c>
      <c r="C49" t="s">
        <v>101</v>
      </c>
      <c r="D49" t="str">
        <f>_xlfn.LET(_xlpm.x,VLOOKUP(C49,[1]!Table1[[#All],[Entry]:[Gene Ontology (GO)]],5,FALSE),IF(C49="NA","NA",IF(_xlpm.x="","NA",_xlpm.x)))</f>
        <v>LOC116308518</v>
      </c>
      <c r="E49" s="4" t="str">
        <f>_xlfn.LET(_xlpm.x,VLOOKUP(C49,[1]!Table1[[#All],[Entry]:[Gene Ontology (GO)]],4,FALSE),IF(C49="NA","NA",IF(_xlpm.x="","NA",_xlpm.x)))</f>
        <v>Transporter</v>
      </c>
      <c r="F49" s="4" t="str">
        <f>_xlfn.LET(_xlpm.x,VLOOKUP(C49,[1]!Table1[[#All],[Entry]:[Gene Ontology (GO)]],8,FALSE),IF(C49="NA","NA",IF(_xlpm.x="","NA",_xlpm.x)))</f>
        <v>plasma membrane [GO:0005886]; metal ion binding [GO:0046872]; monoamine transmembrane transporter activity [GO:0008504]; sodium:chloride symporter activity [GO:0015378]; amino acid transport [GO:0006865]; catecholamine uptake [GO:0090493]; neurotransmitter transport [GO:0006836]</v>
      </c>
      <c r="G49" s="3">
        <v>9526.69647768498</v>
      </c>
      <c r="H49" s="3">
        <v>1.0930153193623</v>
      </c>
      <c r="I49" s="3">
        <v>0.48646295565838898</v>
      </c>
      <c r="J49" s="2">
        <v>3.6774849060891003E-5</v>
      </c>
      <c r="K49" s="2">
        <v>2.1268243748408602E-2</v>
      </c>
    </row>
    <row r="50" spans="1:11" x14ac:dyDescent="0.25">
      <c r="A50" t="s">
        <v>7</v>
      </c>
      <c r="B50" t="s">
        <v>102</v>
      </c>
      <c r="C50" t="s">
        <v>103</v>
      </c>
      <c r="D50" t="str">
        <f>_xlfn.LET(_xlpm.x,VLOOKUP(C50,[1]!Table1[[#All],[Entry]:[Gene Ontology (GO)]],5,FALSE),IF(C50="NA","NA",IF(_xlpm.x="","NA",_xlpm.x)))</f>
        <v>LOC116304569</v>
      </c>
      <c r="E50" s="4" t="str">
        <f>_xlfn.LET(_xlpm.x,VLOOKUP(C50,[1]!Table1[[#All],[Entry]:[Gene Ontology (GO)]],4,FALSE),IF(C50="NA","NA",IF(_xlpm.x="","NA",_xlpm.x)))</f>
        <v>Basic proline-rich protein-like</v>
      </c>
      <c r="F50" s="4" t="str">
        <f>_xlfn.LET(_xlpm.x,VLOOKUP(C50,[1]!Table1[[#All],[Entry]:[Gene Ontology (GO)]],8,FALSE),IF(C50="NA","NA",IF(_xlpm.x="","NA",_xlpm.x)))</f>
        <v>NA</v>
      </c>
      <c r="G50" s="3">
        <v>184.53915726706899</v>
      </c>
      <c r="H50" s="3">
        <v>1.0181285550659001</v>
      </c>
      <c r="I50" s="3">
        <v>0.41890536154050301</v>
      </c>
      <c r="J50" s="2">
        <v>3.8772898874458801E-5</v>
      </c>
      <c r="K50" s="2">
        <v>2.1268243748408602E-2</v>
      </c>
    </row>
    <row r="51" spans="1:11" ht="30" x14ac:dyDescent="0.25">
      <c r="A51" t="s">
        <v>7</v>
      </c>
      <c r="B51" t="s">
        <v>104</v>
      </c>
      <c r="C51" t="s">
        <v>105</v>
      </c>
      <c r="D51" t="str">
        <f>_xlfn.LET(_xlpm.x,VLOOKUP(C51,[1]!Table1[[#All],[Entry]:[Gene Ontology (GO)]],5,FALSE),IF(C51="NA","NA",IF(_xlpm.x="","NA",_xlpm.x)))</f>
        <v>LOC116297634</v>
      </c>
      <c r="E51" s="4" t="str">
        <f>_xlfn.LET(_xlpm.x,VLOOKUP(C51,[1]!Table1[[#All],[Entry]:[Gene Ontology (GO)]],4,FALSE),IF(C51="NA","NA",IF(_xlpm.x="","NA",_xlpm.x)))</f>
        <v>Protein pangolin, isoforms A/H/I/S-like isoform X1</v>
      </c>
      <c r="F51" s="4" t="str">
        <f>_xlfn.LET(_xlpm.x,VLOOKUP(C51,[1]!Table1[[#All],[Entry]:[Gene Ontology (GO)]],8,FALSE),IF(C51="NA","NA",IF(_xlpm.x="","NA",_xlpm.x)))</f>
        <v>beta-catenin-TCF complex [GO:1990907]; chromatin [GO:0000785]; DNA-binding transcription factor activity, RNA polymerase II-specific [GO:0000981]; RNA polymerase II cis-regulatory region sequence-specific DNA binding [GO:0000978]; canonical Wnt signaling pathway [GO:0060070]</v>
      </c>
      <c r="G51" s="3">
        <v>562.24019099463499</v>
      </c>
      <c r="H51" s="3">
        <v>0.77999374188347403</v>
      </c>
      <c r="I51" s="3">
        <v>0.27421095852111599</v>
      </c>
      <c r="J51" s="2">
        <v>3.8188783907586597E-5</v>
      </c>
      <c r="K51" s="2">
        <v>2.1268243748408602E-2</v>
      </c>
    </row>
    <row r="52" spans="1:11" x14ac:dyDescent="0.25">
      <c r="A52" t="s">
        <v>7</v>
      </c>
      <c r="B52" t="s">
        <v>106</v>
      </c>
      <c r="C52" t="s">
        <v>107</v>
      </c>
      <c r="D52" t="str">
        <f>_xlfn.LET(_xlpm.x,VLOOKUP(C52,[1]!Table1[[#All],[Entry]:[Gene Ontology (GO)]],5,FALSE),IF(C52="NA","NA",IF(_xlpm.x="","NA",_xlpm.x)))</f>
        <v>LOC116297222</v>
      </c>
      <c r="E52" s="4" t="str">
        <f>_xlfn.LET(_xlpm.x,VLOOKUP(C52,[1]!Table1[[#All],[Entry]:[Gene Ontology (GO)]],4,FALSE),IF(C52="NA","NA",IF(_xlpm.x="","NA",_xlpm.x)))</f>
        <v>Uncharacterized protein LOC116297222</v>
      </c>
      <c r="F52" s="4" t="str">
        <f>_xlfn.LET(_xlpm.x,VLOOKUP(C52,[1]!Table1[[#All],[Entry]:[Gene Ontology (GO)]],8,FALSE),IF(C52="NA","NA",IF(_xlpm.x="","NA",_xlpm.x)))</f>
        <v>NA</v>
      </c>
      <c r="G52" s="3">
        <v>409.57980930834998</v>
      </c>
      <c r="H52" s="3">
        <v>-0.69002087514780797</v>
      </c>
      <c r="I52" s="3">
        <v>1.43612412296071</v>
      </c>
      <c r="J52" s="2">
        <v>3.5263347516966502E-5</v>
      </c>
      <c r="K52" s="2">
        <v>2.1268243748408602E-2</v>
      </c>
    </row>
    <row r="53" spans="1:11" x14ac:dyDescent="0.25">
      <c r="A53" t="s">
        <v>7</v>
      </c>
      <c r="B53" t="s">
        <v>108</v>
      </c>
      <c r="C53" t="s">
        <v>75</v>
      </c>
      <c r="D53" t="str">
        <f>_xlfn.LET(_xlpm.x,VLOOKUP(C53,[1]!Table1[[#All],[Entry]:[Gene Ontology (GO)]],5,FALSE),IF(C53="NA","NA",IF(_xlpm.x="","NA",_xlpm.x)))</f>
        <v>LOC116297422</v>
      </c>
      <c r="E53" s="4" t="str">
        <f>_xlfn.LET(_xlpm.x,VLOOKUP(C53,[1]!Table1[[#All],[Entry]:[Gene Ontology (GO)]],4,FALSE),IF(C53="NA","NA",IF(_xlpm.x="","NA",_xlpm.x)))</f>
        <v>Uncharacterized protein LOC116297422</v>
      </c>
      <c r="F53" s="4" t="str">
        <f>_xlfn.LET(_xlpm.x,VLOOKUP(C53,[1]!Table1[[#All],[Entry]:[Gene Ontology (GO)]],8,FALSE),IF(C53="NA","NA",IF(_xlpm.x="","NA",_xlpm.x)))</f>
        <v>cytosol [GO:0005829]; ATP binding [GO:0005524]</v>
      </c>
      <c r="G53" s="3">
        <v>1533.6696860125301</v>
      </c>
      <c r="H53" s="3">
        <v>0.807923483734721</v>
      </c>
      <c r="I53" s="3">
        <v>0.29207228115221601</v>
      </c>
      <c r="J53" s="2">
        <v>4.0802156956320201E-5</v>
      </c>
      <c r="K53" s="2">
        <v>2.14391795099526E-2</v>
      </c>
    </row>
    <row r="54" spans="1:11" ht="30" x14ac:dyDescent="0.25">
      <c r="A54" t="s">
        <v>7</v>
      </c>
      <c r="B54" t="s">
        <v>109</v>
      </c>
      <c r="C54" t="s">
        <v>110</v>
      </c>
      <c r="D54" t="str">
        <f>_xlfn.LET(_xlpm.x,VLOOKUP(C54,[1]!Table1[[#All],[Entry]:[Gene Ontology (GO)]],5,FALSE),IF(C54="NA","NA",IF(_xlpm.x="","NA",_xlpm.x)))</f>
        <v>LOC116295161</v>
      </c>
      <c r="E54" s="4" t="str">
        <f>_xlfn.LET(_xlpm.x,VLOOKUP(C54,[1]!Table1[[#All],[Entry]:[Gene Ontology (GO)]],4,FALSE),IF(C54="NA","NA",IF(_xlpm.x="","NA",_xlpm.x)))</f>
        <v>Neural retina-specific leucine zipper protein</v>
      </c>
      <c r="F54" s="4" t="str">
        <f>_xlfn.LET(_xlpm.x,VLOOKUP(C54,[1]!Table1[[#All],[Entry]:[Gene Ontology (GO)]],8,FALSE),IF(C54="NA","NA",IF(_xlpm.x="","NA",_xlpm.x)))</f>
        <v>cytoplasm [GO:0005737]; nucleus [GO:0005634]; DNA-binding transcription factor activity, RNA polymerase II-specific [GO:0000981]; RNA polymerase II cis-regulatory region sequence-specific DNA binding [GO:0000978]; positive regulation of transcription by RNA polymerase II [GO:0045944]</v>
      </c>
      <c r="G54" s="3">
        <v>1957.80962350612</v>
      </c>
      <c r="H54" s="3">
        <v>0.97482186110297198</v>
      </c>
      <c r="I54" s="3">
        <v>0.40137413233507502</v>
      </c>
      <c r="J54" s="2">
        <v>4.3904870861701801E-5</v>
      </c>
      <c r="K54" s="2">
        <v>2.2483900162574701E-2</v>
      </c>
    </row>
    <row r="55" spans="1:11" ht="30" x14ac:dyDescent="0.25">
      <c r="A55" t="s">
        <v>7</v>
      </c>
      <c r="B55" t="s">
        <v>111</v>
      </c>
      <c r="C55" t="s">
        <v>112</v>
      </c>
      <c r="D55" t="str">
        <f>_xlfn.LET(_xlpm.x,VLOOKUP(C55,[1]!Table1[[#All],[Entry]:[Gene Ontology (GO)]],5,FALSE),IF(C55="NA","NA",IF(_xlpm.x="","NA",_xlpm.x)))</f>
        <v>LOC116302676</v>
      </c>
      <c r="E55" s="4" t="str">
        <f>_xlfn.LET(_xlpm.x,VLOOKUP(C55,[1]!Table1[[#All],[Entry]:[Gene Ontology (GO)]],4,FALSE),IF(C55="NA","NA",IF(_xlpm.x="","NA",_xlpm.x)))</f>
        <v>Neuronal acetylcholine receptor subunit alpha-7-like</v>
      </c>
      <c r="F55" s="4" t="str">
        <f>_xlfn.LET(_xlpm.x,VLOOKUP(C55,[1]!Table1[[#All],[Entry]:[Gene Ontology (GO)]],8,FALSE),IF(C55="NA","NA",IF(_xlpm.x="","NA",_xlpm.x)))</f>
        <v>membrane [GO:0016020]; extracellular ligand-gated monoatomic ion channel activity [GO:0005230]; transmembrane signaling receptor activity [GO:0004888]</v>
      </c>
      <c r="G55" s="3">
        <v>2212.9359903127202</v>
      </c>
      <c r="H55" s="3">
        <v>-0.88802897483306897</v>
      </c>
      <c r="I55" s="3">
        <v>0.34289625566229298</v>
      </c>
      <c r="J55" s="2">
        <v>4.44362115719004E-5</v>
      </c>
      <c r="K55" s="2">
        <v>2.2483900162574701E-2</v>
      </c>
    </row>
    <row r="56" spans="1:11" ht="30" x14ac:dyDescent="0.25">
      <c r="A56" t="s">
        <v>7</v>
      </c>
      <c r="B56" t="s">
        <v>113</v>
      </c>
      <c r="C56" t="s">
        <v>114</v>
      </c>
      <c r="D56" t="str">
        <f>_xlfn.LET(_xlpm.x,VLOOKUP(C56,[1]!Table1[[#All],[Entry]:[Gene Ontology (GO)]],5,FALSE),IF(C56="NA","NA",IF(_xlpm.x="","NA",_xlpm.x)))</f>
        <v>LOC116304887</v>
      </c>
      <c r="E56" s="4" t="str">
        <f>_xlfn.LET(_xlpm.x,VLOOKUP(C56,[1]!Table1[[#All],[Entry]:[Gene Ontology (GO)]],4,FALSE),IF(C56="NA","NA",IF(_xlpm.x="","NA",_xlpm.x)))</f>
        <v>2-oxoglutarate and iron-dependent oxygenase JMJD4-like</v>
      </c>
      <c r="F56" s="4" t="str">
        <f>_xlfn.LET(_xlpm.x,VLOOKUP(C56,[1]!Table1[[#All],[Entry]:[Gene Ontology (GO)]],8,FALSE),IF(C56="NA","NA",IF(_xlpm.x="","NA",_xlpm.x)))</f>
        <v>nucleus [GO:0005634]; cis-regulatory region sequence-specific DNA binding [GO:0000987]</v>
      </c>
      <c r="G56" s="3">
        <v>57.890475831761798</v>
      </c>
      <c r="H56" s="3">
        <v>-1.10341137430643</v>
      </c>
      <c r="I56" s="3">
        <v>0.62010963201484404</v>
      </c>
      <c r="J56" s="2">
        <v>4.7662084861944503E-5</v>
      </c>
      <c r="K56" s="2">
        <v>2.2846862187419499E-2</v>
      </c>
    </row>
    <row r="57" spans="1:11" x14ac:dyDescent="0.25">
      <c r="A57" t="s">
        <v>7</v>
      </c>
      <c r="B57" t="s">
        <v>115</v>
      </c>
      <c r="C57" t="s">
        <v>116</v>
      </c>
      <c r="D57" t="str">
        <f>_xlfn.LET(_xlpm.x,VLOOKUP(C57,[1]!Table1[[#All],[Entry]:[Gene Ontology (GO)]],5,FALSE),IF(C57="NA","NA",IF(_xlpm.x="","NA",_xlpm.x)))</f>
        <v>LOC116296515</v>
      </c>
      <c r="E57" s="4" t="str">
        <f>_xlfn.LET(_xlpm.x,VLOOKUP(C57,[1]!Table1[[#All],[Entry]:[Gene Ontology (GO)]],4,FALSE),IF(C57="NA","NA",IF(_xlpm.x="","NA",_xlpm.x)))</f>
        <v>Formin-like protein 5</v>
      </c>
      <c r="F57" s="4" t="str">
        <f>_xlfn.LET(_xlpm.x,VLOOKUP(C57,[1]!Table1[[#All],[Entry]:[Gene Ontology (GO)]],8,FALSE),IF(C57="NA","NA",IF(_xlpm.x="","NA",_xlpm.x)))</f>
        <v>NA</v>
      </c>
      <c r="G57" s="3">
        <v>1390.26243458672</v>
      </c>
      <c r="H57" s="3">
        <v>1.02689877309646</v>
      </c>
      <c r="I57" s="3">
        <v>0.46288497838200199</v>
      </c>
      <c r="J57" s="2">
        <v>4.7263079897219101E-5</v>
      </c>
      <c r="K57" s="2">
        <v>2.2846862187419499E-2</v>
      </c>
    </row>
    <row r="58" spans="1:11" x14ac:dyDescent="0.25">
      <c r="A58" t="s">
        <v>7</v>
      </c>
      <c r="B58" t="s">
        <v>117</v>
      </c>
      <c r="C58" t="s">
        <v>118</v>
      </c>
      <c r="D58" t="str">
        <f>_xlfn.LET(_xlpm.x,VLOOKUP(C58,[1]!Table1[[#All],[Entry]:[Gene Ontology (GO)]],5,FALSE),IF(C58="NA","NA",IF(_xlpm.x="","NA",_xlpm.x)))</f>
        <v>LOC116295255</v>
      </c>
      <c r="E58" s="4" t="str">
        <f>_xlfn.LET(_xlpm.x,VLOOKUP(C58,[1]!Table1[[#All],[Entry]:[Gene Ontology (GO)]],4,FALSE),IF(C58="NA","NA",IF(_xlpm.x="","NA",_xlpm.x)))</f>
        <v>Probable G-protein coupled receptor No18</v>
      </c>
      <c r="F58" s="4" t="str">
        <f>_xlfn.LET(_xlpm.x,VLOOKUP(C58,[1]!Table1[[#All],[Entry]:[Gene Ontology (GO)]],8,FALSE),IF(C58="NA","NA",IF(_xlpm.x="","NA",_xlpm.x)))</f>
        <v>plasma membrane [GO:0005886]; G protein-coupled receptor activity [GO:0004930]</v>
      </c>
      <c r="G58" s="3">
        <v>195.04440512588101</v>
      </c>
      <c r="H58" s="3">
        <v>-1.0130788086773601</v>
      </c>
      <c r="I58" s="3">
        <v>0.44784118229703002</v>
      </c>
      <c r="J58" s="2">
        <v>4.7229621062853501E-5</v>
      </c>
      <c r="K58" s="2">
        <v>2.2846862187419499E-2</v>
      </c>
    </row>
    <row r="59" spans="1:11" x14ac:dyDescent="0.25">
      <c r="A59" t="s">
        <v>7</v>
      </c>
      <c r="B59" t="s">
        <v>119</v>
      </c>
      <c r="C59" t="s">
        <v>120</v>
      </c>
      <c r="D59" t="str">
        <f>_xlfn.LET(_xlpm.x,VLOOKUP(C59,[1]!Table1[[#All],[Entry]:[Gene Ontology (GO)]],5,FALSE),IF(C59="NA","NA",IF(_xlpm.x="","NA",_xlpm.x)))</f>
        <v>LOC116305026</v>
      </c>
      <c r="E59" s="4" t="str">
        <f>_xlfn.LET(_xlpm.x,VLOOKUP(C59,[1]!Table1[[#All],[Entry]:[Gene Ontology (GO)]],4,FALSE),IF(C59="NA","NA",IF(_xlpm.x="","NA",_xlpm.x)))</f>
        <v>Neuropeptide FF receptor 2-like</v>
      </c>
      <c r="F59" s="4" t="str">
        <f>_xlfn.LET(_xlpm.x,VLOOKUP(C59,[1]!Table1[[#All],[Entry]:[Gene Ontology (GO)]],8,FALSE),IF(C59="NA","NA",IF(_xlpm.x="","NA",_xlpm.x)))</f>
        <v>plasma membrane [GO:0005886]; neuropeptide Y receptor activity [GO:0004983]</v>
      </c>
      <c r="G59" s="3">
        <v>278.85186798245297</v>
      </c>
      <c r="H59" s="3">
        <v>0.95139077698188301</v>
      </c>
      <c r="I59" s="3">
        <v>0.40243644585911598</v>
      </c>
      <c r="J59" s="2">
        <v>5.0379268728843099E-5</v>
      </c>
      <c r="K59" s="2">
        <v>2.3732978611692698E-2</v>
      </c>
    </row>
    <row r="60" spans="1:11" x14ac:dyDescent="0.25">
      <c r="A60" t="s">
        <v>7</v>
      </c>
      <c r="B60" t="s">
        <v>121</v>
      </c>
      <c r="C60" t="s">
        <v>122</v>
      </c>
      <c r="D60" t="str">
        <f>_xlfn.LET(_xlpm.x,VLOOKUP(C60,[1]!Table1[[#All],[Entry]:[Gene Ontology (GO)]],5,FALSE),IF(C60="NA","NA",IF(_xlpm.x="","NA",_xlpm.x)))</f>
        <v>LOC116286404</v>
      </c>
      <c r="E60" s="4" t="str">
        <f>_xlfn.LET(_xlpm.x,VLOOKUP(C60,[1]!Table1[[#All],[Entry]:[Gene Ontology (GO)]],4,FALSE),IF(C60="NA","NA",IF(_xlpm.x="","NA",_xlpm.x)))</f>
        <v>D-cysteine desulfhydrase 1, mitochondrial</v>
      </c>
      <c r="F60" s="4" t="str">
        <f>_xlfn.LET(_xlpm.x,VLOOKUP(C60,[1]!Table1[[#All],[Entry]:[Gene Ontology (GO)]],8,FALSE),IF(C60="NA","NA",IF(_xlpm.x="","NA",_xlpm.x)))</f>
        <v>D-cysteine desulfhydrase activity [GO:0019148]</v>
      </c>
      <c r="G60" s="3">
        <v>22856.684939262501</v>
      </c>
      <c r="H60" s="3">
        <v>0.97122191038082994</v>
      </c>
      <c r="I60" s="3">
        <v>0.424960256763947</v>
      </c>
      <c r="J60" s="2">
        <v>5.2151028208530302E-5</v>
      </c>
      <c r="K60" s="2">
        <v>2.4151229554943601E-2</v>
      </c>
    </row>
    <row r="61" spans="1:11" ht="45" x14ac:dyDescent="0.25">
      <c r="A61" t="s">
        <v>7</v>
      </c>
      <c r="B61" t="s">
        <v>123</v>
      </c>
      <c r="C61" t="s">
        <v>26</v>
      </c>
      <c r="D61" t="str">
        <f>_xlfn.LET(_xlpm.x,VLOOKUP(C61,[1]!Table1[[#All],[Entry]:[Gene Ontology (GO)]],5,FALSE),IF(C61="NA","NA",IF(_xlpm.x="","NA",_xlpm.x)))</f>
        <v>LOC116298580</v>
      </c>
      <c r="E61" s="4" t="str">
        <f>_xlfn.LET(_xlpm.x,VLOOKUP(C61,[1]!Table1[[#All],[Entry]:[Gene Ontology (GO)]],4,FALSE),IF(C61="NA","NA",IF(_xlpm.x="","NA",_xlpm.x)))</f>
        <v>Mitochondrial glutamate carrier 2 (Glutamate/H(+) symporter 2) (Solute carrier family 25 member 18)</v>
      </c>
      <c r="F61" s="4" t="str">
        <f>_xlfn.LET(_xlpm.x,VLOOKUP(C61,[1]!Table1[[#All],[Entry]:[Gene Ontology (GO)]],8,FALSE),IF(C61="NA","NA",IF(_xlpm.x="","NA",_xlpm.x)))</f>
        <v>mitochondrial inner membrane [GO:0005743]; L-aspartate transmembrane transporter activity [GO:0015183]; L-glutamate transmembrane transporter activity [GO:0005313]; symporter activity [GO:0015293]; malate-aspartate shuttle [GO:0043490]</v>
      </c>
      <c r="G61" s="3">
        <v>676.51862386126299</v>
      </c>
      <c r="H61" s="3">
        <v>0.97997864817010905</v>
      </c>
      <c r="I61" s="3">
        <v>0.443088086493378</v>
      </c>
      <c r="J61" s="2">
        <v>5.5044345405282803E-5</v>
      </c>
      <c r="K61" s="2">
        <v>2.5066277491809001E-2</v>
      </c>
    </row>
    <row r="62" spans="1:11" x14ac:dyDescent="0.25">
      <c r="A62" t="s">
        <v>7</v>
      </c>
      <c r="B62" t="s">
        <v>124</v>
      </c>
      <c r="C62" t="s">
        <v>49</v>
      </c>
      <c r="D62" t="str">
        <f>_xlfn.LET(_xlpm.x,VLOOKUP(C62,[1]!Table1[[#All],[Entry]:[Gene Ontology (GO)]],5,FALSE),IF(C62="NA","NA",IF(_xlpm.x="","NA",_xlpm.x)))</f>
        <v>LOC116294921</v>
      </c>
      <c r="E62" s="4" t="str">
        <f>_xlfn.LET(_xlpm.x,VLOOKUP(C62,[1]!Table1[[#All],[Entry]:[Gene Ontology (GO)]],4,FALSE),IF(C62="NA","NA",IF(_xlpm.x="","NA",_xlpm.x)))</f>
        <v>Uncharacterized protein LOC116294921</v>
      </c>
      <c r="F62" s="4" t="str">
        <f>_xlfn.LET(_xlpm.x,VLOOKUP(C62,[1]!Table1[[#All],[Entry]:[Gene Ontology (GO)]],8,FALSE),IF(C62="NA","NA",IF(_xlpm.x="","NA",_xlpm.x)))</f>
        <v>NA</v>
      </c>
      <c r="G62" s="3">
        <v>1626.91867617505</v>
      </c>
      <c r="H62" s="3">
        <v>-0.80363552586361298</v>
      </c>
      <c r="I62" s="3">
        <v>0.32265459371162097</v>
      </c>
      <c r="J62" s="2">
        <v>5.92961280436937E-5</v>
      </c>
      <c r="K62" s="2">
        <v>2.6131421073191E-2</v>
      </c>
    </row>
    <row r="63" spans="1:11" ht="30" x14ac:dyDescent="0.25">
      <c r="A63" t="s">
        <v>7</v>
      </c>
      <c r="B63" t="s">
        <v>125</v>
      </c>
      <c r="C63" t="s">
        <v>126</v>
      </c>
      <c r="D63" t="str">
        <f>_xlfn.LET(_xlpm.x,VLOOKUP(C63,[1]!Table1[[#All],[Entry]:[Gene Ontology (GO)]],5,FALSE),IF(C63="NA","NA",IF(_xlpm.x="","NA",_xlpm.x)))</f>
        <v>LOC116291582</v>
      </c>
      <c r="E63" s="4" t="str">
        <f>_xlfn.LET(_xlpm.x,VLOOKUP(C63,[1]!Table1[[#All],[Entry]:[Gene Ontology (GO)]],4,FALSE),IF(C63="NA","NA",IF(_xlpm.x="","NA",_xlpm.x)))</f>
        <v>Uncharacterized protein LOC116291582 isoform X1</v>
      </c>
      <c r="F63" s="4" t="str">
        <f>_xlfn.LET(_xlpm.x,VLOOKUP(C63,[1]!Table1[[#All],[Entry]:[Gene Ontology (GO)]],8,FALSE),IF(C63="NA","NA",IF(_xlpm.x="","NA",_xlpm.x)))</f>
        <v>NA</v>
      </c>
      <c r="G63" s="3">
        <v>1118.2008033288</v>
      </c>
      <c r="H63" s="3">
        <v>-0.71042228573180799</v>
      </c>
      <c r="I63" s="3">
        <v>1.0305868048281801</v>
      </c>
      <c r="J63" s="2">
        <v>5.90737765735763E-5</v>
      </c>
      <c r="K63" s="2">
        <v>2.6131421073191E-2</v>
      </c>
    </row>
    <row r="64" spans="1:11" x14ac:dyDescent="0.25">
      <c r="A64" t="s">
        <v>7</v>
      </c>
      <c r="B64" t="s">
        <v>127</v>
      </c>
      <c r="C64" t="s">
        <v>93</v>
      </c>
      <c r="D64" t="str">
        <f>_xlfn.LET(_xlpm.x,VLOOKUP(C64,[1]!Table1[[#All],[Entry]:[Gene Ontology (GO)]],5,FALSE),IF(C64="NA","NA",IF(_xlpm.x="","NA",_xlpm.x)))</f>
        <v>LOC116287832</v>
      </c>
      <c r="E64" s="4" t="str">
        <f>_xlfn.LET(_xlpm.x,VLOOKUP(C64,[1]!Table1[[#All],[Entry]:[Gene Ontology (GO)]],4,FALSE),IF(C64="NA","NA",IF(_xlpm.x="","NA",_xlpm.x)))</f>
        <v>Uncharacterized protein LOC116287832</v>
      </c>
      <c r="F64" s="4" t="str">
        <f>_xlfn.LET(_xlpm.x,VLOOKUP(C64,[1]!Table1[[#All],[Entry]:[Gene Ontology (GO)]],8,FALSE),IF(C64="NA","NA",IF(_xlpm.x="","NA",_xlpm.x)))</f>
        <v>cell periphery [GO:0071944]; membrane [GO:0016020]</v>
      </c>
      <c r="G64" s="3">
        <v>638.31194920982</v>
      </c>
      <c r="H64" s="3">
        <v>-0.80693068720638095</v>
      </c>
      <c r="I64" s="3">
        <v>0.32632203019818201</v>
      </c>
      <c r="J64" s="2">
        <v>6.0356908290971003E-5</v>
      </c>
      <c r="K64" s="2">
        <v>2.6176695321177799E-2</v>
      </c>
    </row>
    <row r="65" spans="1:11" x14ac:dyDescent="0.25">
      <c r="A65" t="s">
        <v>7</v>
      </c>
      <c r="B65" t="s">
        <v>128</v>
      </c>
      <c r="C65" t="s">
        <v>83</v>
      </c>
      <c r="D65" t="str">
        <f>_xlfn.LET(_xlpm.x,VLOOKUP(C65,[1]!Table1[[#All],[Entry]:[Gene Ontology (GO)]],5,FALSE),IF(C65="NA","NA",IF(_xlpm.x="","NA",_xlpm.x)))</f>
        <v>NA</v>
      </c>
      <c r="E65" s="4" t="str">
        <f>_xlfn.LET(_xlpm.x,VLOOKUP(C65,[1]!Table1[[#All],[Entry]:[Gene Ontology (GO)]],4,FALSE),IF(C65="NA","NA",IF(_xlpm.x="","NA",_xlpm.x)))</f>
        <v>NA</v>
      </c>
      <c r="F65" s="4" t="str">
        <f>_xlfn.LET(_xlpm.x,VLOOKUP(C65,[1]!Table1[[#All],[Entry]:[Gene Ontology (GO)]],8,FALSE),IF(C65="NA","NA",IF(_xlpm.x="","NA",_xlpm.x)))</f>
        <v>NA</v>
      </c>
      <c r="G65" s="3">
        <v>2416.81179544818</v>
      </c>
      <c r="H65" s="3">
        <v>-1.0019318568978299</v>
      </c>
      <c r="I65" s="3">
        <v>0.49700711196624098</v>
      </c>
      <c r="J65" s="2">
        <v>6.2044400265506901E-5</v>
      </c>
      <c r="K65" s="2">
        <v>2.6488111694600702E-2</v>
      </c>
    </row>
    <row r="66" spans="1:11" x14ac:dyDescent="0.25">
      <c r="A66" t="s">
        <v>7</v>
      </c>
      <c r="B66" t="s">
        <v>129</v>
      </c>
      <c r="C66" t="s">
        <v>83</v>
      </c>
      <c r="D66" t="str">
        <f>_xlfn.LET(_xlpm.x,VLOOKUP(C66,[1]!Table1[[#All],[Entry]:[Gene Ontology (GO)]],5,FALSE),IF(C66="NA","NA",IF(_xlpm.x="","NA",_xlpm.x)))</f>
        <v>NA</v>
      </c>
      <c r="E66" s="4" t="str">
        <f>_xlfn.LET(_xlpm.x,VLOOKUP(C66,[1]!Table1[[#All],[Entry]:[Gene Ontology (GO)]],4,FALSE),IF(C66="NA","NA",IF(_xlpm.x="","NA",_xlpm.x)))</f>
        <v>NA</v>
      </c>
      <c r="F66" s="4" t="str">
        <f>_xlfn.LET(_xlpm.x,VLOOKUP(C66,[1]!Table1[[#All],[Entry]:[Gene Ontology (GO)]],8,FALSE),IF(C66="NA","NA",IF(_xlpm.x="","NA",_xlpm.x)))</f>
        <v>NA</v>
      </c>
      <c r="G66" s="3">
        <v>6879.5737943620998</v>
      </c>
      <c r="H66" s="3">
        <v>1.0018619167213501</v>
      </c>
      <c r="I66" s="3">
        <v>0.50225688666880297</v>
      </c>
      <c r="J66" s="2">
        <v>6.3201037756935796E-5</v>
      </c>
      <c r="K66" s="2">
        <v>2.65667993020424E-2</v>
      </c>
    </row>
    <row r="67" spans="1:11" ht="30" x14ac:dyDescent="0.25">
      <c r="A67" t="s">
        <v>7</v>
      </c>
      <c r="B67" t="s">
        <v>130</v>
      </c>
      <c r="C67" t="s">
        <v>131</v>
      </c>
      <c r="D67" t="str">
        <f>_xlfn.LET(_xlpm.x,VLOOKUP(C67,[1]!Table1[[#All],[Entry]:[Gene Ontology (GO)]],5,FALSE),IF(C67="NA","NA",IF(_xlpm.x="","NA",_xlpm.x)))</f>
        <v>LOC116301643</v>
      </c>
      <c r="E67" s="4" t="str">
        <f>_xlfn.LET(_xlpm.x,VLOOKUP(C67,[1]!Table1[[#All],[Entry]:[Gene Ontology (GO)]],4,FALSE),IF(C67="NA","NA",IF(_xlpm.x="","NA",_xlpm.x)))</f>
        <v>Alpha,alpha-trehalose-phosphate synthase [UDP-forming]-like</v>
      </c>
      <c r="F67" s="4" t="str">
        <f>_xlfn.LET(_xlpm.x,VLOOKUP(C67,[1]!Table1[[#All],[Entry]:[Gene Ontology (GO)]],8,FALSE),IF(C67="NA","NA",IF(_xlpm.x="","NA",_xlpm.x)))</f>
        <v>cytosol [GO:0005829]; alpha,alpha-trehalose-phosphate synthase (UDP-forming) activity [GO:0003825]; trehalose-phosphatase activity [GO:0004805]; trehalose biosynthetic process [GO:0005992]</v>
      </c>
      <c r="G67" s="3">
        <v>1503.38176559372</v>
      </c>
      <c r="H67" s="3">
        <v>0.65952099346997395</v>
      </c>
      <c r="I67" s="3">
        <v>0.25995070295623601</v>
      </c>
      <c r="J67" s="2">
        <v>6.6386202741462207E-5</v>
      </c>
      <c r="K67" s="2">
        <v>2.74828820834087E-2</v>
      </c>
    </row>
    <row r="68" spans="1:11" ht="30" x14ac:dyDescent="0.25">
      <c r="A68" t="s">
        <v>7</v>
      </c>
      <c r="B68" t="s">
        <v>132</v>
      </c>
      <c r="C68" t="s">
        <v>133</v>
      </c>
      <c r="D68" t="str">
        <f>_xlfn.LET(_xlpm.x,VLOOKUP(C68,[1]!Table1[[#All],[Entry]:[Gene Ontology (GO)]],5,FALSE),IF(C68="NA","NA",IF(_xlpm.x="","NA",_xlpm.x)))</f>
        <v>LOC116299674</v>
      </c>
      <c r="E68" s="4" t="str">
        <f>_xlfn.LET(_xlpm.x,VLOOKUP(C68,[1]!Table1[[#All],[Entry]:[Gene Ontology (GO)]],4,FALSE),IF(C68="NA","NA",IF(_xlpm.x="","NA",_xlpm.x)))</f>
        <v>Complement C1q subcomponent subunit B-like isoform X1</v>
      </c>
      <c r="F68" s="4" t="str">
        <f>_xlfn.LET(_xlpm.x,VLOOKUP(C68,[1]!Table1[[#All],[Entry]:[Gene Ontology (GO)]],8,FALSE),IF(C68="NA","NA",IF(_xlpm.x="","NA",_xlpm.x)))</f>
        <v>carbohydrate binding [GO:0030246]</v>
      </c>
      <c r="G68" s="3">
        <v>923.10842424147802</v>
      </c>
      <c r="H68" s="3">
        <v>0.90404750717587801</v>
      </c>
      <c r="I68" s="3">
        <v>0.408171012333778</v>
      </c>
      <c r="J68" s="2">
        <v>6.7597873958155299E-5</v>
      </c>
      <c r="K68" s="2">
        <v>2.7566816569532498E-2</v>
      </c>
    </row>
    <row r="69" spans="1:11" x14ac:dyDescent="0.25">
      <c r="A69" t="s">
        <v>7</v>
      </c>
      <c r="B69" t="s">
        <v>134</v>
      </c>
      <c r="C69" t="s">
        <v>135</v>
      </c>
      <c r="D69" t="str">
        <f>_xlfn.LET(_xlpm.x,VLOOKUP(C69,[1]!Table1[[#All],[Entry]:[Gene Ontology (GO)]],5,FALSE),IF(C69="NA","NA",IF(_xlpm.x="","NA",_xlpm.x)))</f>
        <v>NA</v>
      </c>
      <c r="E69" s="4" t="str">
        <f>_xlfn.LET(_xlpm.x,VLOOKUP(C69,[1]!Table1[[#All],[Entry]:[Gene Ontology (GO)]],4,FALSE),IF(C69="NA","NA",IF(_xlpm.x="","NA",_xlpm.x)))</f>
        <v>Uncharacterized protein</v>
      </c>
      <c r="F69" s="4" t="str">
        <f>_xlfn.LET(_xlpm.x,VLOOKUP(C69,[1]!Table1[[#All],[Entry]:[Gene Ontology (GO)]],8,FALSE),IF(C69="NA","NA",IF(_xlpm.x="","NA",_xlpm.x)))</f>
        <v>NA</v>
      </c>
      <c r="G69" s="3">
        <v>66.846467529820004</v>
      </c>
      <c r="H69" s="3">
        <v>1.01675393183643</v>
      </c>
      <c r="I69" s="3">
        <v>0.63669224654010703</v>
      </c>
      <c r="J69" s="2">
        <v>7.2887917997344301E-5</v>
      </c>
      <c r="K69" s="2">
        <v>2.8590407457365598E-2</v>
      </c>
    </row>
    <row r="70" spans="1:11" x14ac:dyDescent="0.25">
      <c r="A70" t="s">
        <v>7</v>
      </c>
      <c r="B70" t="s">
        <v>136</v>
      </c>
      <c r="C70" t="s">
        <v>83</v>
      </c>
      <c r="D70" t="str">
        <f>_xlfn.LET(_xlpm.x,VLOOKUP(C70,[1]!Table1[[#All],[Entry]:[Gene Ontology (GO)]],5,FALSE),IF(C70="NA","NA",IF(_xlpm.x="","NA",_xlpm.x)))</f>
        <v>NA</v>
      </c>
      <c r="E70" s="4" t="str">
        <f>_xlfn.LET(_xlpm.x,VLOOKUP(C70,[1]!Table1[[#All],[Entry]:[Gene Ontology (GO)]],4,FALSE),IF(C70="NA","NA",IF(_xlpm.x="","NA",_xlpm.x)))</f>
        <v>NA</v>
      </c>
      <c r="F70" s="4" t="str">
        <f>_xlfn.LET(_xlpm.x,VLOOKUP(C70,[1]!Table1[[#All],[Entry]:[Gene Ontology (GO)]],8,FALSE),IF(C70="NA","NA",IF(_xlpm.x="","NA",_xlpm.x)))</f>
        <v>NA</v>
      </c>
      <c r="G70" s="3">
        <v>124.450022918024</v>
      </c>
      <c r="H70" s="3">
        <v>0.90505867850183697</v>
      </c>
      <c r="I70" s="3">
        <v>0.42159136954160997</v>
      </c>
      <c r="J70" s="2">
        <v>7.2828514596319198E-5</v>
      </c>
      <c r="K70" s="2">
        <v>2.8590407457365598E-2</v>
      </c>
    </row>
    <row r="71" spans="1:11" x14ac:dyDescent="0.25">
      <c r="A71" t="s">
        <v>7</v>
      </c>
      <c r="B71" t="s">
        <v>137</v>
      </c>
      <c r="C71" t="s">
        <v>138</v>
      </c>
      <c r="D71" t="str">
        <f>_xlfn.LET(_xlpm.x,VLOOKUP(C71,[1]!Table1[[#All],[Entry]:[Gene Ontology (GO)]],5,FALSE),IF(C71="NA","NA",IF(_xlpm.x="","NA",_xlpm.x)))</f>
        <v>LOC116298677</v>
      </c>
      <c r="E71" s="4" t="str">
        <f>_xlfn.LET(_xlpm.x,VLOOKUP(C71,[1]!Table1[[#All],[Entry]:[Gene Ontology (GO)]],4,FALSE),IF(C71="NA","NA",IF(_xlpm.x="","NA",_xlpm.x)))</f>
        <v>Solute carrier family 23 member 2-like</v>
      </c>
      <c r="F71" s="4" t="str">
        <f>_xlfn.LET(_xlpm.x,VLOOKUP(C71,[1]!Table1[[#All],[Entry]:[Gene Ontology (GO)]],8,FALSE),IF(C71="NA","NA",IF(_xlpm.x="","NA",_xlpm.x)))</f>
        <v>membrane [GO:0016020]; transmembrane transporter activity [GO:0022857]</v>
      </c>
      <c r="G71" s="3">
        <v>567.16840624117106</v>
      </c>
      <c r="H71" s="3">
        <v>0.89038762013128703</v>
      </c>
      <c r="I71" s="3">
        <v>0.40941244710728297</v>
      </c>
      <c r="J71" s="2">
        <v>7.3247027120579395E-5</v>
      </c>
      <c r="K71" s="2">
        <v>2.8590407457365598E-2</v>
      </c>
    </row>
    <row r="72" spans="1:11" ht="45" x14ac:dyDescent="0.25">
      <c r="A72" t="s">
        <v>7</v>
      </c>
      <c r="B72" t="s">
        <v>139</v>
      </c>
      <c r="C72" t="s">
        <v>140</v>
      </c>
      <c r="D72" t="str">
        <f>_xlfn.LET(_xlpm.x,VLOOKUP(C72,[1]!Table1[[#All],[Entry]:[Gene Ontology (GO)]],5,FALSE),IF(C72="NA","NA",IF(_xlpm.x="","NA",_xlpm.x)))</f>
        <v>LOC116296841</v>
      </c>
      <c r="E72" s="4" t="str">
        <f>_xlfn.LET(_xlpm.x,VLOOKUP(C72,[1]!Table1[[#All],[Entry]:[Gene Ontology (GO)]],4,FALSE),IF(C72="NA","NA",IF(_xlpm.x="","NA",_xlpm.x)))</f>
        <v>Sialin (H(+)/nitrate cotransporter) (H(+)/sialic acid cotransporter) (Vesicular excitatory amino acid transporter)</v>
      </c>
      <c r="F72" s="4" t="str">
        <f>_xlfn.LET(_xlpm.x,VLOOKUP(C72,[1]!Table1[[#All],[Entry]:[Gene Ontology (GO)]],8,FALSE),IF(C72="NA","NA",IF(_xlpm.x="","NA",_xlpm.x)))</f>
        <v>basolateral plasma membrane [GO:0016323]; lysosomal membrane [GO:0005765]; synaptic vesicle membrane [GO:0030672]; symporter activity [GO:0015293]; carboxylic acid transport [GO:0046942]; monoatomic anion transport [GO:0006820]</v>
      </c>
      <c r="G72" s="3">
        <v>50.096859866901099</v>
      </c>
      <c r="H72" s="3">
        <v>1.0033884587501201</v>
      </c>
      <c r="I72" s="3">
        <v>0.62013167521927703</v>
      </c>
      <c r="J72" s="2">
        <v>7.7457549786649597E-5</v>
      </c>
      <c r="K72" s="2">
        <v>2.9394064344730901E-2</v>
      </c>
    </row>
    <row r="73" spans="1:11" x14ac:dyDescent="0.25">
      <c r="A73" t="s">
        <v>7</v>
      </c>
      <c r="B73" t="s">
        <v>141</v>
      </c>
      <c r="C73" t="s">
        <v>142</v>
      </c>
      <c r="D73" t="str">
        <f>_xlfn.LET(_xlpm.x,VLOOKUP(C73,[1]!Table1[[#All],[Entry]:[Gene Ontology (GO)]],5,FALSE),IF(C73="NA","NA",IF(_xlpm.x="","NA",_xlpm.x)))</f>
        <v>LOC116302123</v>
      </c>
      <c r="E73" s="4" t="str">
        <f>_xlfn.LET(_xlpm.x,VLOOKUP(C73,[1]!Table1[[#All],[Entry]:[Gene Ontology (GO)]],4,FALSE),IF(C73="NA","NA",IF(_xlpm.x="","NA",_xlpm.x)))</f>
        <v>LIX1-like protein</v>
      </c>
      <c r="F73" s="4" t="str">
        <f>_xlfn.LET(_xlpm.x,VLOOKUP(C73,[1]!Table1[[#All],[Entry]:[Gene Ontology (GO)]],8,FALSE),IF(C73="NA","NA",IF(_xlpm.x="","NA",_xlpm.x)))</f>
        <v>cytoplasm [GO:0005737]; autophagosome maturation [GO:0097352]</v>
      </c>
      <c r="G73" s="3">
        <v>283.72472709772597</v>
      </c>
      <c r="H73" s="3">
        <v>-0.99137352431356096</v>
      </c>
      <c r="I73" s="3">
        <v>0.55929803597501204</v>
      </c>
      <c r="J73" s="2">
        <v>7.7077607036947206E-5</v>
      </c>
      <c r="K73" s="2">
        <v>2.9394064344730901E-2</v>
      </c>
    </row>
    <row r="74" spans="1:11" x14ac:dyDescent="0.25">
      <c r="A74" t="s">
        <v>7</v>
      </c>
      <c r="B74" t="s">
        <v>143</v>
      </c>
      <c r="C74" t="s">
        <v>144</v>
      </c>
      <c r="D74" t="str">
        <f>_xlfn.LET(_xlpm.x,VLOOKUP(C74,[1]!Table1[[#All],[Entry]:[Gene Ontology (GO)]],5,FALSE),IF(C74="NA","NA",IF(_xlpm.x="","NA",_xlpm.x)))</f>
        <v>LOC116287034</v>
      </c>
      <c r="E74" s="4" t="str">
        <f>_xlfn.LET(_xlpm.x,VLOOKUP(C74,[1]!Table1[[#All],[Entry]:[Gene Ontology (GO)]],4,FALSE),IF(C74="NA","NA",IF(_xlpm.x="","NA",_xlpm.x)))</f>
        <v>Inhibin beta B chain-like</v>
      </c>
      <c r="F74" s="4" t="str">
        <f>_xlfn.LET(_xlpm.x,VLOOKUP(C74,[1]!Table1[[#All],[Entry]:[Gene Ontology (GO)]],8,FALSE),IF(C74="NA","NA",IF(_xlpm.x="","NA",_xlpm.x)))</f>
        <v>extracellular space [GO:0005615]; cytokine activity [GO:0005125]; growth factor activity [GO:0008083]</v>
      </c>
      <c r="G74" s="3">
        <v>253.97441316418201</v>
      </c>
      <c r="H74" s="3">
        <v>-0.87148135968400597</v>
      </c>
      <c r="I74" s="3">
        <v>0.40565077125678201</v>
      </c>
      <c r="J74" s="2">
        <v>7.9096782360228905E-5</v>
      </c>
      <c r="K74" s="2">
        <v>2.96049504716237E-2</v>
      </c>
    </row>
    <row r="75" spans="1:11" ht="30" x14ac:dyDescent="0.25">
      <c r="A75" t="s">
        <v>7</v>
      </c>
      <c r="B75" t="s">
        <v>145</v>
      </c>
      <c r="C75" t="s">
        <v>146</v>
      </c>
      <c r="D75" t="str">
        <f>_xlfn.LET(_xlpm.x,VLOOKUP(C75,[1]!Table1[[#All],[Entry]:[Gene Ontology (GO)]],5,FALSE),IF(C75="NA","NA",IF(_xlpm.x="","NA",_xlpm.x)))</f>
        <v>LOC116299382</v>
      </c>
      <c r="E75" s="4" t="str">
        <f>_xlfn.LET(_xlpm.x,VLOOKUP(C75,[1]!Table1[[#All],[Entry]:[Gene Ontology (GO)]],4,FALSE),IF(C75="NA","NA",IF(_xlpm.x="","NA",_xlpm.x)))</f>
        <v>Uncharacterized protein LOC116299382 isoform X2</v>
      </c>
      <c r="F75" s="4" t="str">
        <f>_xlfn.LET(_xlpm.x,VLOOKUP(C75,[1]!Table1[[#All],[Entry]:[Gene Ontology (GO)]],8,FALSE),IF(C75="NA","NA",IF(_xlpm.x="","NA",_xlpm.x)))</f>
        <v>ATP binding [GO:0005524]; protein kinase activity [GO:0004672]</v>
      </c>
      <c r="G75" s="3">
        <v>113.983560090894</v>
      </c>
      <c r="H75" s="3">
        <v>0.98982290469645295</v>
      </c>
      <c r="I75" s="3">
        <v>0.63046642517561802</v>
      </c>
      <c r="J75" s="2">
        <v>8.2750025852558096E-5</v>
      </c>
      <c r="K75" s="2">
        <v>3.01463860849259E-2</v>
      </c>
    </row>
    <row r="76" spans="1:11" x14ac:dyDescent="0.25">
      <c r="A76" t="s">
        <v>7</v>
      </c>
      <c r="B76" t="s">
        <v>147</v>
      </c>
      <c r="C76" t="s">
        <v>148</v>
      </c>
      <c r="D76" t="str">
        <f>_xlfn.LET(_xlpm.x,VLOOKUP(C76,[1]!Table1[[#All],[Entry]:[Gene Ontology (GO)]],5,FALSE),IF(C76="NA","NA",IF(_xlpm.x="","NA",_xlpm.x)))</f>
        <v>LOC116296533</v>
      </c>
      <c r="E76" s="4" t="str">
        <f>_xlfn.LET(_xlpm.x,VLOOKUP(C76,[1]!Table1[[#All],[Entry]:[Gene Ontology (GO)]],4,FALSE),IF(C76="NA","NA",IF(_xlpm.x="","NA",_xlpm.x)))</f>
        <v>Ephrin type-B receptor 6-like</v>
      </c>
      <c r="F76" s="4" t="str">
        <f>_xlfn.LET(_xlpm.x,VLOOKUP(C76,[1]!Table1[[#All],[Entry]:[Gene Ontology (GO)]],8,FALSE),IF(C76="NA","NA",IF(_xlpm.x="","NA",_xlpm.x)))</f>
        <v>dendrite [GO:0030425]; plasma membrane [GO:0005886]; ATP binding [GO:0005524]; transmembrane-ephrin receptor activity [GO:0005005]; axon guidance [GO:0007411]</v>
      </c>
      <c r="G76" s="3">
        <v>47.473546109576603</v>
      </c>
      <c r="H76" s="3">
        <v>0.94390011734059698</v>
      </c>
      <c r="I76" s="3">
        <v>0.49321631997100002</v>
      </c>
      <c r="J76" s="2">
        <v>8.2362351338970404E-5</v>
      </c>
      <c r="K76" s="2">
        <v>3.01463860849259E-2</v>
      </c>
    </row>
    <row r="77" spans="1:11" ht="30" x14ac:dyDescent="0.25">
      <c r="A77" t="s">
        <v>7</v>
      </c>
      <c r="B77" t="s">
        <v>149</v>
      </c>
      <c r="C77" t="s">
        <v>150</v>
      </c>
      <c r="D77" t="str">
        <f>_xlfn.LET(_xlpm.x,VLOOKUP(C77,[1]!Table1[[#All],[Entry]:[Gene Ontology (GO)]],5,FALSE),IF(C77="NA","NA",IF(_xlpm.x="","NA",_xlpm.x)))</f>
        <v>LOC116299051</v>
      </c>
      <c r="E77" s="4" t="str">
        <f>_xlfn.LET(_xlpm.x,VLOOKUP(C77,[1]!Table1[[#All],[Entry]:[Gene Ontology (GO)]],4,FALSE),IF(C77="NA","NA",IF(_xlpm.x="","NA",_xlpm.x)))</f>
        <v>Deleted in malignant brain tumors 1 protein-like</v>
      </c>
      <c r="F77" s="4" t="str">
        <f>_xlfn.LET(_xlpm.x,VLOOKUP(C77,[1]!Table1[[#All],[Entry]:[Gene Ontology (GO)]],8,FALSE),IF(C77="NA","NA",IF(_xlpm.x="","NA",_xlpm.x)))</f>
        <v>membrane [GO:0016020]</v>
      </c>
      <c r="G77" s="3">
        <v>20366.615835311601</v>
      </c>
      <c r="H77" s="3">
        <v>0.87730580065520103</v>
      </c>
      <c r="I77" s="3">
        <v>0.42316916871976701</v>
      </c>
      <c r="J77" s="2">
        <v>8.4951960615601503E-5</v>
      </c>
      <c r="K77" s="2">
        <v>3.0541347630264198E-2</v>
      </c>
    </row>
    <row r="78" spans="1:11" x14ac:dyDescent="0.25">
      <c r="A78" t="s">
        <v>7</v>
      </c>
      <c r="B78" t="s">
        <v>151</v>
      </c>
      <c r="C78" t="s">
        <v>152</v>
      </c>
      <c r="D78" t="str">
        <f>_xlfn.LET(_xlpm.x,VLOOKUP(C78,[1]!Table1[[#All],[Entry]:[Gene Ontology (GO)]],5,FALSE),IF(C78="NA","NA",IF(_xlpm.x="","NA",_xlpm.x)))</f>
        <v>LOC116289544</v>
      </c>
      <c r="E78" s="4" t="str">
        <f>_xlfn.LET(_xlpm.x,VLOOKUP(C78,[1]!Table1[[#All],[Entry]:[Gene Ontology (GO)]],4,FALSE),IF(C78="NA","NA",IF(_xlpm.x="","NA",_xlpm.x)))</f>
        <v>Vitelline membrane outer layer protein 1-like</v>
      </c>
      <c r="F78" s="4" t="str">
        <f>_xlfn.LET(_xlpm.x,VLOOKUP(C78,[1]!Table1[[#All],[Entry]:[Gene Ontology (GO)]],8,FALSE),IF(C78="NA","NA",IF(_xlpm.x="","NA",_xlpm.x)))</f>
        <v>extracellular space [GO:0005615]</v>
      </c>
      <c r="G78" s="3">
        <v>151.839961450559</v>
      </c>
      <c r="H78" s="3">
        <v>0.97621853418764404</v>
      </c>
      <c r="I78" s="3">
        <v>0.62210188091200902</v>
      </c>
      <c r="J78" s="2">
        <v>8.8139369388169904E-5</v>
      </c>
      <c r="K78" s="2">
        <v>3.1275740127181401E-2</v>
      </c>
    </row>
    <row r="79" spans="1:11" x14ac:dyDescent="0.25">
      <c r="A79" t="s">
        <v>7</v>
      </c>
      <c r="B79" t="s">
        <v>153</v>
      </c>
      <c r="C79" t="s">
        <v>154</v>
      </c>
      <c r="D79" t="str">
        <f>_xlfn.LET(_xlpm.x,VLOOKUP(C79,[1]!Table1[[#All],[Entry]:[Gene Ontology (GO)]],5,FALSE),IF(C79="NA","NA",IF(_xlpm.x="","NA",_xlpm.x)))</f>
        <v>LOC116304503</v>
      </c>
      <c r="E79" s="4" t="str">
        <f>_xlfn.LET(_xlpm.x,VLOOKUP(C79,[1]!Table1[[#All],[Entry]:[Gene Ontology (GO)]],4,FALSE),IF(C79="NA","NA",IF(_xlpm.x="","NA",_xlpm.x)))</f>
        <v>Uncharacterized protein LOC116304503</v>
      </c>
      <c r="F79" s="4" t="str">
        <f>_xlfn.LET(_xlpm.x,VLOOKUP(C79,[1]!Table1[[#All],[Entry]:[Gene Ontology (GO)]],8,FALSE),IF(C79="NA","NA",IF(_xlpm.x="","NA",_xlpm.x)))</f>
        <v>NA</v>
      </c>
      <c r="G79" s="3">
        <v>39.476857666302699</v>
      </c>
      <c r="H79" s="3">
        <v>0.95070676255018105</v>
      </c>
      <c r="I79" s="3">
        <v>0.67344141274205704</v>
      </c>
      <c r="J79" s="2">
        <v>9.6724799527450896E-5</v>
      </c>
      <c r="K79" s="2">
        <v>3.1841104789018498E-2</v>
      </c>
    </row>
    <row r="80" spans="1:11" x14ac:dyDescent="0.25">
      <c r="A80" t="s">
        <v>7</v>
      </c>
      <c r="B80" t="s">
        <v>155</v>
      </c>
      <c r="C80" t="s">
        <v>156</v>
      </c>
      <c r="D80" t="str">
        <f>_xlfn.LET(_xlpm.x,VLOOKUP(C80,[1]!Table1[[#All],[Entry]:[Gene Ontology (GO)]],5,FALSE),IF(C80="NA","NA",IF(_xlpm.x="","NA",_xlpm.x)))</f>
        <v>LOC116308239</v>
      </c>
      <c r="E80" s="4" t="str">
        <f>_xlfn.LET(_xlpm.x,VLOOKUP(C80,[1]!Table1[[#All],[Entry]:[Gene Ontology (GO)]],4,FALSE),IF(C80="NA","NA",IF(_xlpm.x="","NA",_xlpm.x)))</f>
        <v>Uncharacterized protein LOC116308239</v>
      </c>
      <c r="F80" s="4" t="str">
        <f>_xlfn.LET(_xlpm.x,VLOOKUP(C80,[1]!Table1[[#All],[Entry]:[Gene Ontology (GO)]],8,FALSE),IF(C80="NA","NA",IF(_xlpm.x="","NA",_xlpm.x)))</f>
        <v>NA</v>
      </c>
      <c r="G80" s="3">
        <v>410.32955472177099</v>
      </c>
      <c r="H80" s="3">
        <v>0.94871399833987402</v>
      </c>
      <c r="I80" s="3">
        <v>0.56954940031121704</v>
      </c>
      <c r="J80" s="2">
        <v>9.6485812175418697E-5</v>
      </c>
      <c r="K80" s="2">
        <v>3.1841104789018498E-2</v>
      </c>
    </row>
    <row r="81" spans="1:11" x14ac:dyDescent="0.25">
      <c r="A81" t="s">
        <v>7</v>
      </c>
      <c r="B81" t="s">
        <v>157</v>
      </c>
      <c r="C81" t="s">
        <v>158</v>
      </c>
      <c r="D81" t="str">
        <f>_xlfn.LET(_xlpm.x,VLOOKUP(C81,[1]!Table1[[#All],[Entry]:[Gene Ontology (GO)]],5,FALSE),IF(C81="NA","NA",IF(_xlpm.x="","NA",_xlpm.x)))</f>
        <v>LOC116306757</v>
      </c>
      <c r="E81" s="4" t="str">
        <f>_xlfn.LET(_xlpm.x,VLOOKUP(C81,[1]!Table1[[#All],[Entry]:[Gene Ontology (GO)]],4,FALSE),IF(C81="NA","NA",IF(_xlpm.x="","NA",_xlpm.x)))</f>
        <v>Hexosyltransferase (EC 2.4.1.-)</v>
      </c>
      <c r="F81" s="4" t="str">
        <f>_xlfn.LET(_xlpm.x,VLOOKUP(C81,[1]!Table1[[#All],[Entry]:[Gene Ontology (GO)]],8,FALSE),IF(C81="NA","NA",IF(_xlpm.x="","NA",_xlpm.x)))</f>
        <v>Golgi membrane [GO:0000139]; hexosyltransferase activity [GO:0016758]; protein O-linked glycosylation [GO:0006493]</v>
      </c>
      <c r="G81" s="3">
        <v>352.49919187383603</v>
      </c>
      <c r="H81" s="3">
        <v>0.85478754345276897</v>
      </c>
      <c r="I81" s="3">
        <v>0.42204257574869902</v>
      </c>
      <c r="J81" s="2">
        <v>9.4867717211423496E-5</v>
      </c>
      <c r="K81" s="2">
        <v>3.1841104789018498E-2</v>
      </c>
    </row>
    <row r="82" spans="1:11" ht="30" x14ac:dyDescent="0.25">
      <c r="A82" t="s">
        <v>7</v>
      </c>
      <c r="B82" t="s">
        <v>159</v>
      </c>
      <c r="C82" t="s">
        <v>160</v>
      </c>
      <c r="D82" t="str">
        <f>_xlfn.LET(_xlpm.x,VLOOKUP(C82,[1]!Table1[[#All],[Entry]:[Gene Ontology (GO)]],5,FALSE),IF(C82="NA","NA",IF(_xlpm.x="","NA",_xlpm.x)))</f>
        <v>LOC116295515</v>
      </c>
      <c r="E82" s="4" t="str">
        <f>_xlfn.LET(_xlpm.x,VLOOKUP(C82,[1]!Table1[[#All],[Entry]:[Gene Ontology (GO)]],4,FALSE),IF(C82="NA","NA",IF(_xlpm.x="","NA",_xlpm.x)))</f>
        <v>Ankyrin repeat domain-containing protein 10-like</v>
      </c>
      <c r="F82" s="4" t="str">
        <f>_xlfn.LET(_xlpm.x,VLOOKUP(C82,[1]!Table1[[#All],[Entry]:[Gene Ontology (GO)]],8,FALSE),IF(C82="NA","NA",IF(_xlpm.x="","NA",_xlpm.x)))</f>
        <v>NA</v>
      </c>
      <c r="G82" s="3">
        <v>2869.5918623160901</v>
      </c>
      <c r="H82" s="3">
        <v>0.85263495091734598</v>
      </c>
      <c r="I82" s="3">
        <v>0.41536034127827398</v>
      </c>
      <c r="J82" s="2">
        <v>9.2434350388864099E-5</v>
      </c>
      <c r="K82" s="2">
        <v>3.1841104789018498E-2</v>
      </c>
    </row>
    <row r="83" spans="1:11" x14ac:dyDescent="0.25">
      <c r="A83" t="s">
        <v>7</v>
      </c>
      <c r="B83" t="s">
        <v>161</v>
      </c>
      <c r="C83" t="s">
        <v>138</v>
      </c>
      <c r="D83" t="str">
        <f>_xlfn.LET(_xlpm.x,VLOOKUP(C83,[1]!Table1[[#All],[Entry]:[Gene Ontology (GO)]],5,FALSE),IF(C83="NA","NA",IF(_xlpm.x="","NA",_xlpm.x)))</f>
        <v>LOC116298677</v>
      </c>
      <c r="E83" s="4" t="str">
        <f>_xlfn.LET(_xlpm.x,VLOOKUP(C83,[1]!Table1[[#All],[Entry]:[Gene Ontology (GO)]],4,FALSE),IF(C83="NA","NA",IF(_xlpm.x="","NA",_xlpm.x)))</f>
        <v>Solute carrier family 23 member 2-like</v>
      </c>
      <c r="F83" s="4" t="str">
        <f>_xlfn.LET(_xlpm.x,VLOOKUP(C83,[1]!Table1[[#All],[Entry]:[Gene Ontology (GO)]],8,FALSE),IF(C83="NA","NA",IF(_xlpm.x="","NA",_xlpm.x)))</f>
        <v>membrane [GO:0016020]; transmembrane transporter activity [GO:0022857]</v>
      </c>
      <c r="G83" s="3">
        <v>440.50625801201898</v>
      </c>
      <c r="H83" s="3">
        <v>0.85103698051088905</v>
      </c>
      <c r="I83" s="3">
        <v>0.418718725761691</v>
      </c>
      <c r="J83" s="2">
        <v>9.4973319122299997E-5</v>
      </c>
      <c r="K83" s="2">
        <v>3.1841104789018498E-2</v>
      </c>
    </row>
    <row r="84" spans="1:11" ht="45" x14ac:dyDescent="0.25">
      <c r="A84" t="s">
        <v>7</v>
      </c>
      <c r="B84" t="s">
        <v>162</v>
      </c>
      <c r="C84" t="s">
        <v>163</v>
      </c>
      <c r="D84" t="str">
        <f>_xlfn.LET(_xlpm.x,VLOOKUP(C84,[1]!Table1[[#All],[Entry]:[Gene Ontology (GO)]],5,FALSE),IF(C84="NA","NA",IF(_xlpm.x="","NA",_xlpm.x)))</f>
        <v>LOC116291536</v>
      </c>
      <c r="E84" s="4" t="str">
        <f>_xlfn.LET(_xlpm.x,VLOOKUP(C84,[1]!Table1[[#All],[Entry]:[Gene Ontology (GO)]],4,FALSE),IF(C84="NA","NA",IF(_xlpm.x="","NA",_xlpm.x)))</f>
        <v>Fibropellin-1-like</v>
      </c>
      <c r="F84" s="4" t="str">
        <f>_xlfn.LET(_xlpm.x,VLOOKUP(C84,[1]!Table1[[#All],[Entry]:[Gene Ontology (GO)]],8,FALSE),IF(C84="NA","NA",IF(_xlpm.x="","NA",_xlpm.x)))</f>
        <v>extracellular region [GO:0005576]; plasma membrane [GO:0005886]; plasma membrane bounded cell projection [GO:0120025]; protein-containing complex [GO:0032991]; calcium ion binding [GO:0005509]; protein domain specific binding [GO:0019904]; anatomical structure formation involved in morphogenesis [GO:0048646]; anterior/posterior pattern specification [GO:0009952]; establishment or maintenance of epithelial cell apical/basal polarity [GO:0045197]; hemopoiesis [GO:0030097]; heterophilic cell-cell adhesion via plasma membrane cell adhesion molecules [GO:0007157]; nervous system development [GO:0007399]; positive regulation of multicellular organismal process [GO:0051240]; segmentation [GO:0035282]; stem cell differentiation [GO:0048863]; system process [GO:0003008]</v>
      </c>
      <c r="G84" s="3">
        <v>27.5288943016823</v>
      </c>
      <c r="H84" s="3">
        <v>-0.74060968282018602</v>
      </c>
      <c r="I84" s="3">
        <v>0.87803513890049101</v>
      </c>
      <c r="J84" s="2">
        <v>9.3527880729049506E-5</v>
      </c>
      <c r="K84" s="2">
        <v>3.1841104789018498E-2</v>
      </c>
    </row>
    <row r="85" spans="1:11" x14ac:dyDescent="0.25">
      <c r="A85" t="s">
        <v>7</v>
      </c>
      <c r="B85" t="s">
        <v>164</v>
      </c>
      <c r="C85" t="s">
        <v>165</v>
      </c>
      <c r="D85" t="str">
        <f>_xlfn.LET(_xlpm.x,VLOOKUP(C85,[1]!Table1[[#All],[Entry]:[Gene Ontology (GO)]],5,FALSE),IF(C85="NA","NA",IF(_xlpm.x="","NA",_xlpm.x)))</f>
        <v>LOC116291583</v>
      </c>
      <c r="E85" s="4" t="str">
        <f>_xlfn.LET(_xlpm.x,VLOOKUP(C85,[1]!Table1[[#All],[Entry]:[Gene Ontology (GO)]],4,FALSE),IF(C85="NA","NA",IF(_xlpm.x="","NA",_xlpm.x)))</f>
        <v>QRFP-like peptide receptor</v>
      </c>
      <c r="F85" s="4" t="str">
        <f>_xlfn.LET(_xlpm.x,VLOOKUP(C85,[1]!Table1[[#All],[Entry]:[Gene Ontology (GO)]],8,FALSE),IF(C85="NA","NA",IF(_xlpm.x="","NA",_xlpm.x)))</f>
        <v>membrane [GO:0016020]; G protein-coupled receptor activity [GO:0004930]</v>
      </c>
      <c r="G85" s="3">
        <v>509.58222478945697</v>
      </c>
      <c r="H85" s="3">
        <v>0.64679374873923301</v>
      </c>
      <c r="I85" s="3">
        <v>0.28708243143000201</v>
      </c>
      <c r="J85" s="2">
        <v>9.9371500281353705E-5</v>
      </c>
      <c r="K85" s="2">
        <v>3.1942676496322701E-2</v>
      </c>
    </row>
    <row r="86" spans="1:11" x14ac:dyDescent="0.25">
      <c r="A86" t="s">
        <v>7</v>
      </c>
      <c r="B86" t="s">
        <v>166</v>
      </c>
      <c r="C86" t="s">
        <v>167</v>
      </c>
      <c r="D86" t="str">
        <f>_xlfn.LET(_xlpm.x,VLOOKUP(C86,[1]!Table1[[#All],[Entry]:[Gene Ontology (GO)]],5,FALSE),IF(C86="NA","NA",IF(_xlpm.x="","NA",_xlpm.x)))</f>
        <v>LOC116296613</v>
      </c>
      <c r="E86" s="4" t="str">
        <f>_xlfn.LET(_xlpm.x,VLOOKUP(C86,[1]!Table1[[#All],[Entry]:[Gene Ontology (GO)]],4,FALSE),IF(C86="NA","NA",IF(_xlpm.x="","NA",_xlpm.x)))</f>
        <v>Perlucin-like protein</v>
      </c>
      <c r="F86" s="4" t="str">
        <f>_xlfn.LET(_xlpm.x,VLOOKUP(C86,[1]!Table1[[#All],[Entry]:[Gene Ontology (GO)]],8,FALSE),IF(C86="NA","NA",IF(_xlpm.x="","NA",_xlpm.x)))</f>
        <v>NA</v>
      </c>
      <c r="G86" s="3">
        <v>430.80468830541201</v>
      </c>
      <c r="H86" s="3">
        <v>0.463538378769214</v>
      </c>
      <c r="I86" s="3">
        <v>0.97129240402614903</v>
      </c>
      <c r="J86" s="2">
        <v>9.8871349739643194E-5</v>
      </c>
      <c r="K86" s="2">
        <v>3.1942676496322701E-2</v>
      </c>
    </row>
    <row r="87" spans="1:11" x14ac:dyDescent="0.25">
      <c r="A87" t="s">
        <v>7</v>
      </c>
      <c r="B87" t="s">
        <v>168</v>
      </c>
      <c r="C87" t="s">
        <v>169</v>
      </c>
      <c r="D87" t="str">
        <f>_xlfn.LET(_xlpm.x,VLOOKUP(C87,[1]!Table1[[#All],[Entry]:[Gene Ontology (GO)]],5,FALSE),IF(C87="NA","NA",IF(_xlpm.x="","NA",_xlpm.x)))</f>
        <v>LOC116296569</v>
      </c>
      <c r="E87" s="4" t="str">
        <f>_xlfn.LET(_xlpm.x,VLOOKUP(C87,[1]!Table1[[#All],[Entry]:[Gene Ontology (GO)]],4,FALSE),IF(C87="NA","NA",IF(_xlpm.x="","NA",_xlpm.x)))</f>
        <v>Uncharacterized protein LOC116296569</v>
      </c>
      <c r="F87" s="4" t="str">
        <f>_xlfn.LET(_xlpm.x,VLOOKUP(C87,[1]!Table1[[#All],[Entry]:[Gene Ontology (GO)]],8,FALSE),IF(C87="NA","NA",IF(_xlpm.x="","NA",_xlpm.x)))</f>
        <v>NA</v>
      </c>
      <c r="G87" s="3">
        <v>846.11532098310897</v>
      </c>
      <c r="H87" s="3">
        <v>0.83044328225897301</v>
      </c>
      <c r="I87" s="3">
        <v>0.42817151255745001</v>
      </c>
      <c r="J87" s="2">
        <v>1.10997925905998E-4</v>
      </c>
      <c r="K87" s="2">
        <v>3.5265073599181199E-2</v>
      </c>
    </row>
    <row r="88" spans="1:11" x14ac:dyDescent="0.25">
      <c r="A88" t="s">
        <v>7</v>
      </c>
      <c r="B88" t="s">
        <v>170</v>
      </c>
      <c r="C88" t="s">
        <v>171</v>
      </c>
      <c r="D88" t="str">
        <f>_xlfn.LET(_xlpm.x,VLOOKUP(C88,[1]!Table1[[#All],[Entry]:[Gene Ontology (GO)]],5,FALSE),IF(C88="NA","NA",IF(_xlpm.x="","NA",_xlpm.x)))</f>
        <v>LOC116293373</v>
      </c>
      <c r="E88" s="4" t="str">
        <f>_xlfn.LET(_xlpm.x,VLOOKUP(C88,[1]!Table1[[#All],[Entry]:[Gene Ontology (GO)]],4,FALSE),IF(C88="NA","NA",IF(_xlpm.x="","NA",_xlpm.x)))</f>
        <v>DnaJ homolog subfamily C member 21</v>
      </c>
      <c r="F88" s="4" t="str">
        <f>_xlfn.LET(_xlpm.x,VLOOKUP(C88,[1]!Table1[[#All],[Entry]:[Gene Ontology (GO)]],8,FALSE),IF(C88="NA","NA",IF(_xlpm.x="","NA",_xlpm.x)))</f>
        <v>cytoplasm [GO:0005737]; nucleic acid binding [GO:0003676]; zinc ion binding [GO:0008270]</v>
      </c>
      <c r="G88" s="3">
        <v>1594.8693775952299</v>
      </c>
      <c r="H88" s="3">
        <v>-0.80559543570774805</v>
      </c>
      <c r="I88" s="3">
        <v>0.40935658795709601</v>
      </c>
      <c r="J88" s="2">
        <v>1.13832885008816E-4</v>
      </c>
      <c r="K88" s="2">
        <v>3.5750068012596399E-2</v>
      </c>
    </row>
    <row r="89" spans="1:11" x14ac:dyDescent="0.25">
      <c r="A89" t="s">
        <v>7</v>
      </c>
      <c r="B89" t="s">
        <v>172</v>
      </c>
      <c r="C89" t="s">
        <v>173</v>
      </c>
      <c r="D89" t="str">
        <f>_xlfn.LET(_xlpm.x,VLOOKUP(C89,[1]!Table1[[#All],[Entry]:[Gene Ontology (GO)]],5,FALSE),IF(C89="NA","NA",IF(_xlpm.x="","NA",_xlpm.x)))</f>
        <v>LOC116287015</v>
      </c>
      <c r="E89" s="4" t="str">
        <f>_xlfn.LET(_xlpm.x,VLOOKUP(C89,[1]!Table1[[#All],[Entry]:[Gene Ontology (GO)]],4,FALSE),IF(C89="NA","NA",IF(_xlpm.x="","NA",_xlpm.x)))</f>
        <v>U-actitoxin-Avd8d-like</v>
      </c>
      <c r="F89" s="4" t="str">
        <f>_xlfn.LET(_xlpm.x,VLOOKUP(C89,[1]!Table1[[#All],[Entry]:[Gene Ontology (GO)]],8,FALSE),IF(C89="NA","NA",IF(_xlpm.x="","NA",_xlpm.x)))</f>
        <v>NA</v>
      </c>
      <c r="G89" s="3">
        <v>208.68126368179699</v>
      </c>
      <c r="H89" s="3">
        <v>0.90561174589022098</v>
      </c>
      <c r="I89" s="3">
        <v>0.59227635684673197</v>
      </c>
      <c r="J89" s="2">
        <v>1.21283272335114E-4</v>
      </c>
      <c r="K89" s="2">
        <v>3.6551469177127399E-2</v>
      </c>
    </row>
    <row r="90" spans="1:11" x14ac:dyDescent="0.25">
      <c r="A90" t="s">
        <v>7</v>
      </c>
      <c r="B90" t="s">
        <v>174</v>
      </c>
      <c r="C90" t="s">
        <v>175</v>
      </c>
      <c r="D90" t="str">
        <f>_xlfn.LET(_xlpm.x,VLOOKUP(C90,[1]!Table1[[#All],[Entry]:[Gene Ontology (GO)]],5,FALSE),IF(C90="NA","NA",IF(_xlpm.x="","NA",_xlpm.x)))</f>
        <v>LOC116288334</v>
      </c>
      <c r="E90" s="4" t="str">
        <f>_xlfn.LET(_xlpm.x,VLOOKUP(C90,[1]!Table1[[#All],[Entry]:[Gene Ontology (GO)]],4,FALSE),IF(C90="NA","NA",IF(_xlpm.x="","NA",_xlpm.x)))</f>
        <v>Tyrosine aminotransferase (TAT) (EC 2.6.1.5)</v>
      </c>
      <c r="F90" s="4" t="str">
        <f>_xlfn.LET(_xlpm.x,VLOOKUP(C90,[1]!Table1[[#All],[Entry]:[Gene Ontology (GO)]],8,FALSE),IF(C90="NA","NA",IF(_xlpm.x="","NA",_xlpm.x)))</f>
        <v>L-tyrosine-2-oxoglutarate transaminase activity [GO:0004838]; pyridoxal phosphate binding [GO:0030170]; L-phenylalanine catabolic process [GO:0006559]; L-tyrosine catabolic process [GO:0006572]</v>
      </c>
      <c r="G90" s="3">
        <v>124.62062473327001</v>
      </c>
      <c r="H90" s="3">
        <v>0.87840948723377599</v>
      </c>
      <c r="I90" s="3">
        <v>0.51457835593615198</v>
      </c>
      <c r="J90" s="2">
        <v>1.21660007781063E-4</v>
      </c>
      <c r="K90" s="2">
        <v>3.6551469177127399E-2</v>
      </c>
    </row>
    <row r="91" spans="1:11" ht="30" x14ac:dyDescent="0.25">
      <c r="A91" t="s">
        <v>7</v>
      </c>
      <c r="B91" t="s">
        <v>176</v>
      </c>
      <c r="C91" t="s">
        <v>177</v>
      </c>
      <c r="D91" t="str">
        <f>_xlfn.LET(_xlpm.x,VLOOKUP(C91,[1]!Table1[[#All],[Entry]:[Gene Ontology (GO)]],5,FALSE),IF(C91="NA","NA",IF(_xlpm.x="","NA",_xlpm.x)))</f>
        <v>LOC116291646</v>
      </c>
      <c r="E91" s="4" t="str">
        <f>_xlfn.LET(_xlpm.x,VLOOKUP(C91,[1]!Table1[[#All],[Entry]:[Gene Ontology (GO)]],4,FALSE),IF(C91="NA","NA",IF(_xlpm.x="","NA",_xlpm.x)))</f>
        <v>Diacylglycerol kinase (DAG kinase) (EC 2.7.1.107)</v>
      </c>
      <c r="F91" s="4" t="str">
        <f>_xlfn.LET(_xlpm.x,VLOOKUP(C91,[1]!Table1[[#All],[Entry]:[Gene Ontology (GO)]],8,FALSE),IF(C91="NA","NA",IF(_xlpm.x="","NA",_xlpm.x)))</f>
        <v>cytoplasm [GO:0005737]; plasma membrane [GO:0005886]; ATP binding [GO:0005524]; ATP-dependent diacylglycerol kinase activity [GO:0004143]; zinc ion binding [GO:0008270]; glycerolipid metabolic process [GO:0046486]; phospholipase C-activating G protein-coupled receptor signaling pathway [GO:0007200]</v>
      </c>
      <c r="G91" s="3">
        <v>1344.79232918721</v>
      </c>
      <c r="H91" s="3">
        <v>-0.666546084331189</v>
      </c>
      <c r="I91" s="3">
        <v>0.31764498482537001</v>
      </c>
      <c r="J91" s="2">
        <v>1.20908391707139E-4</v>
      </c>
      <c r="K91" s="2">
        <v>3.6551469177127399E-2</v>
      </c>
    </row>
    <row r="92" spans="1:11" x14ac:dyDescent="0.25">
      <c r="A92" t="s">
        <v>7</v>
      </c>
      <c r="B92" t="s">
        <v>178</v>
      </c>
      <c r="C92" t="s">
        <v>179</v>
      </c>
      <c r="D92" t="str">
        <f>_xlfn.LET(_xlpm.x,VLOOKUP(C92,[1]!Table1[[#All],[Entry]:[Gene Ontology (GO)]],5,FALSE),IF(C92="NA","NA",IF(_xlpm.x="","NA",_xlpm.x)))</f>
        <v>LOC116297111</v>
      </c>
      <c r="E92" s="4" t="str">
        <f>_xlfn.LET(_xlpm.x,VLOOKUP(C92,[1]!Table1[[#All],[Entry]:[Gene Ontology (GO)]],4,FALSE),IF(C92="NA","NA",IF(_xlpm.x="","NA",_xlpm.x)))</f>
        <v>Uncharacterized protein LOC116297111</v>
      </c>
      <c r="F92" s="4" t="str">
        <f>_xlfn.LET(_xlpm.x,VLOOKUP(C92,[1]!Table1[[#All],[Entry]:[Gene Ontology (GO)]],8,FALSE),IF(C92="NA","NA",IF(_xlpm.x="","NA",_xlpm.x)))</f>
        <v>membrane [GO:0016020]; oxidoreductase activity [GO:0016491]</v>
      </c>
      <c r="G92" s="3">
        <v>43.083843607099197</v>
      </c>
      <c r="H92" s="3">
        <v>-0.55061713068573004</v>
      </c>
      <c r="I92" s="3">
        <v>0.877253039573473</v>
      </c>
      <c r="J92" s="2">
        <v>1.2173566940374799E-4</v>
      </c>
      <c r="K92" s="2">
        <v>3.6551469177127399E-2</v>
      </c>
    </row>
    <row r="93" spans="1:11" x14ac:dyDescent="0.25">
      <c r="A93" t="s">
        <v>7</v>
      </c>
      <c r="B93" t="s">
        <v>180</v>
      </c>
      <c r="C93" t="s">
        <v>181</v>
      </c>
      <c r="D93" t="str">
        <f>_xlfn.LET(_xlpm.x,VLOOKUP(C93,[1]!Table1[[#All],[Entry]:[Gene Ontology (GO)]],5,FALSE),IF(C93="NA","NA",IF(_xlpm.x="","NA",_xlpm.x)))</f>
        <v>LOC116295159</v>
      </c>
      <c r="E93" s="4" t="str">
        <f>_xlfn.LET(_xlpm.x,VLOOKUP(C93,[1]!Table1[[#All],[Entry]:[Gene Ontology (GO)]],4,FALSE),IF(C93="NA","NA",IF(_xlpm.x="","NA",_xlpm.x)))</f>
        <v>Uncharacterized protein LOC116295159</v>
      </c>
      <c r="F93" s="4" t="str">
        <f>_xlfn.LET(_xlpm.x,VLOOKUP(C93,[1]!Table1[[#All],[Entry]:[Gene Ontology (GO)]],8,FALSE),IF(C93="NA","NA",IF(_xlpm.x="","NA",_xlpm.x)))</f>
        <v>diaminopimelate decarboxylase activity [GO:0008836]; lysine biosynthetic process via diaminopimelate [GO:0009089]; polyamine biosynthetic process [GO:0006596]</v>
      </c>
      <c r="G93" s="3">
        <v>3388.0727842217402</v>
      </c>
      <c r="H93" s="3">
        <v>0.83442205148767501</v>
      </c>
      <c r="I93" s="3">
        <v>0.454885535255805</v>
      </c>
      <c r="J93" s="2">
        <v>1.2327100863016599E-4</v>
      </c>
      <c r="K93" s="2">
        <v>3.66101496608916E-2</v>
      </c>
    </row>
    <row r="94" spans="1:11" x14ac:dyDescent="0.25">
      <c r="A94" t="s">
        <v>7</v>
      </c>
      <c r="B94" t="s">
        <v>182</v>
      </c>
      <c r="C94" t="s">
        <v>183</v>
      </c>
      <c r="D94" t="str">
        <f>_xlfn.LET(_xlpm.x,VLOOKUP(C94,[1]!Table1[[#All],[Entry]:[Gene Ontology (GO)]],5,FALSE),IF(C94="NA","NA",IF(_xlpm.x="","NA",_xlpm.x)))</f>
        <v>LOC116304543</v>
      </c>
      <c r="E94" s="4" t="str">
        <f>_xlfn.LET(_xlpm.x,VLOOKUP(C94,[1]!Table1[[#All],[Entry]:[Gene Ontology (GO)]],4,FALSE),IF(C94="NA","NA",IF(_xlpm.x="","NA",_xlpm.x)))</f>
        <v>Antileukoproteinase-like</v>
      </c>
      <c r="F94" s="4" t="str">
        <f>_xlfn.LET(_xlpm.x,VLOOKUP(C94,[1]!Table1[[#All],[Entry]:[Gene Ontology (GO)]],8,FALSE),IF(C94="NA","NA",IF(_xlpm.x="","NA",_xlpm.x)))</f>
        <v>extracellular region [GO:0005576]; peptidase inhibitor activity [GO:0030414]</v>
      </c>
      <c r="G94" s="3">
        <v>186.61809683267199</v>
      </c>
      <c r="H94" s="3">
        <v>-0.83655872256208597</v>
      </c>
      <c r="I94" s="3">
        <v>0.46181797755359799</v>
      </c>
      <c r="J94" s="2">
        <v>1.25518226841637E-4</v>
      </c>
      <c r="K94" s="2">
        <v>3.6876715182731799E-2</v>
      </c>
    </row>
    <row r="95" spans="1:11" x14ac:dyDescent="0.25">
      <c r="A95" t="s">
        <v>7</v>
      </c>
      <c r="B95" t="s">
        <v>184</v>
      </c>
      <c r="C95" t="s">
        <v>83</v>
      </c>
      <c r="D95" t="str">
        <f>_xlfn.LET(_xlpm.x,VLOOKUP(C95,[1]!Table1[[#All],[Entry]:[Gene Ontology (GO)]],5,FALSE),IF(C95="NA","NA",IF(_xlpm.x="","NA",_xlpm.x)))</f>
        <v>NA</v>
      </c>
      <c r="E95" s="4" t="str">
        <f>_xlfn.LET(_xlpm.x,VLOOKUP(C95,[1]!Table1[[#All],[Entry]:[Gene Ontology (GO)]],4,FALSE),IF(C95="NA","NA",IF(_xlpm.x="","NA",_xlpm.x)))</f>
        <v>NA</v>
      </c>
      <c r="F95" s="4" t="str">
        <f>_xlfn.LET(_xlpm.x,VLOOKUP(C95,[1]!Table1[[#All],[Entry]:[Gene Ontology (GO)]],8,FALSE),IF(C95="NA","NA",IF(_xlpm.x="","NA",_xlpm.x)))</f>
        <v>NA</v>
      </c>
      <c r="G95" s="3">
        <v>1068.3470812836699</v>
      </c>
      <c r="H95" s="3">
        <v>0.50615815715592705</v>
      </c>
      <c r="I95" s="3">
        <v>0.86915210206164395</v>
      </c>
      <c r="J95" s="2">
        <v>1.30960676259964E-4</v>
      </c>
      <c r="K95" s="2">
        <v>3.8066367632457403E-2</v>
      </c>
    </row>
    <row r="96" spans="1:11" x14ac:dyDescent="0.25">
      <c r="A96" t="s">
        <v>7</v>
      </c>
      <c r="B96" t="s">
        <v>185</v>
      </c>
      <c r="C96" t="s">
        <v>186</v>
      </c>
      <c r="D96" t="str">
        <f>_xlfn.LET(_xlpm.x,VLOOKUP(C96,[1]!Table1[[#All],[Entry]:[Gene Ontology (GO)]],5,FALSE),IF(C96="NA","NA",IF(_xlpm.x="","NA",_xlpm.x)))</f>
        <v>LOC116291298</v>
      </c>
      <c r="E96" s="4" t="str">
        <f>_xlfn.LET(_xlpm.x,VLOOKUP(C96,[1]!Table1[[#All],[Entry]:[Gene Ontology (GO)]],4,FALSE),IF(C96="NA","NA",IF(_xlpm.x="","NA",_xlpm.x)))</f>
        <v>Uncharacterized protein LOC116291298</v>
      </c>
      <c r="F96" s="4" t="str">
        <f>_xlfn.LET(_xlpm.x,VLOOKUP(C96,[1]!Table1[[#All],[Entry]:[Gene Ontology (GO)]],8,FALSE),IF(C96="NA","NA",IF(_xlpm.x="","NA",_xlpm.x)))</f>
        <v>NA</v>
      </c>
      <c r="G96" s="3">
        <v>69.949183281049002</v>
      </c>
      <c r="H96" s="3">
        <v>0.88058362630501796</v>
      </c>
      <c r="I96" s="3">
        <v>0.58103543779147004</v>
      </c>
      <c r="J96" s="2">
        <v>1.3521396010072E-4</v>
      </c>
      <c r="K96" s="2">
        <v>3.8528295907709197E-2</v>
      </c>
    </row>
    <row r="97" spans="1:11" ht="30" x14ac:dyDescent="0.25">
      <c r="A97" t="s">
        <v>7</v>
      </c>
      <c r="B97" t="s">
        <v>187</v>
      </c>
      <c r="C97" t="s">
        <v>188</v>
      </c>
      <c r="D97" t="str">
        <f>_xlfn.LET(_xlpm.x,VLOOKUP(C97,[1]!Table1[[#All],[Entry]:[Gene Ontology (GO)]],5,FALSE),IF(C97="NA","NA",IF(_xlpm.x="","NA",_xlpm.x)))</f>
        <v>LOC116304623</v>
      </c>
      <c r="E97" s="4" t="str">
        <f>_xlfn.LET(_xlpm.x,VLOOKUP(C97,[1]!Table1[[#All],[Entry]:[Gene Ontology (GO)]],4,FALSE),IF(C97="NA","NA",IF(_xlpm.x="","NA",_xlpm.x)))</f>
        <v>Peroxisomal and mitochondrial division factor 1-like isoform X2</v>
      </c>
      <c r="F97" s="4" t="str">
        <f>_xlfn.LET(_xlpm.x,VLOOKUP(C97,[1]!Table1[[#All],[Entry]:[Gene Ontology (GO)]],8,FALSE),IF(C97="NA","NA",IF(_xlpm.x="","NA",_xlpm.x)))</f>
        <v>NA</v>
      </c>
      <c r="G97" s="3">
        <v>121.71031390054399</v>
      </c>
      <c r="H97" s="3">
        <v>-0.70368558724233399</v>
      </c>
      <c r="I97" s="3">
        <v>0.35679613759194001</v>
      </c>
      <c r="J97" s="2">
        <v>1.3691963844955201E-4</v>
      </c>
      <c r="K97" s="2">
        <v>3.8528295907709197E-2</v>
      </c>
    </row>
    <row r="98" spans="1:11" x14ac:dyDescent="0.25">
      <c r="A98" t="s">
        <v>7</v>
      </c>
      <c r="B98" t="s">
        <v>189</v>
      </c>
      <c r="C98" t="s">
        <v>190</v>
      </c>
      <c r="D98" t="str">
        <f>_xlfn.LET(_xlpm.x,VLOOKUP(C98,[1]!Table1[[#All],[Entry]:[Gene Ontology (GO)]],5,FALSE),IF(C98="NA","NA",IF(_xlpm.x="","NA",_xlpm.x)))</f>
        <v>LOC116308917</v>
      </c>
      <c r="E98" s="4" t="str">
        <f>_xlfn.LET(_xlpm.x,VLOOKUP(C98,[1]!Table1[[#All],[Entry]:[Gene Ontology (GO)]],4,FALSE),IF(C98="NA","NA",IF(_xlpm.x="","NA",_xlpm.x)))</f>
        <v>ornithine decarboxylase (EC 4.1.1.17)</v>
      </c>
      <c r="F98" s="4" t="str">
        <f>_xlfn.LET(_xlpm.x,VLOOKUP(C98,[1]!Table1[[#All],[Entry]:[Gene Ontology (GO)]],8,FALSE),IF(C98="NA","NA",IF(_xlpm.x="","NA",_xlpm.x)))</f>
        <v>cytoplasm [GO:0005737]; ornithine decarboxylase activity [GO:0004586]; putrescine biosynthetic process from arginine, via ornithine [GO:0033387]</v>
      </c>
      <c r="G98" s="3">
        <v>3155.6452417230598</v>
      </c>
      <c r="H98" s="3">
        <v>0.67808386981047497</v>
      </c>
      <c r="I98" s="3">
        <v>0.34047969978390802</v>
      </c>
      <c r="J98" s="2">
        <v>1.38190279213685E-4</v>
      </c>
      <c r="K98" s="2">
        <v>3.8528295907709197E-2</v>
      </c>
    </row>
    <row r="99" spans="1:11" ht="45" x14ac:dyDescent="0.25">
      <c r="A99" t="s">
        <v>7</v>
      </c>
      <c r="B99" t="s">
        <v>191</v>
      </c>
      <c r="C99" t="s">
        <v>192</v>
      </c>
      <c r="D99" t="str">
        <f>_xlfn.LET(_xlpm.x,VLOOKUP(C99,[1]!Table1[[#All],[Entry]:[Gene Ontology (GO)]],5,FALSE),IF(C99="NA","NA",IF(_xlpm.x="","NA",_xlpm.x)))</f>
        <v>LOC116301787</v>
      </c>
      <c r="E99" s="4" t="str">
        <f>_xlfn.LET(_xlpm.x,VLOOKUP(C99,[1]!Table1[[#All],[Entry]:[Gene Ontology (GO)]],4,FALSE),IF(C99="NA","NA",IF(_xlpm.x="","NA",_xlpm.x)))</f>
        <v>Metabotropic glutamate receptor 3-like isoform X1 (Metabotropic glutamate receptor 3-like isoform X2)</v>
      </c>
      <c r="F99" s="4" t="str">
        <f>_xlfn.LET(_xlpm.x,VLOOKUP(C99,[1]!Table1[[#All],[Entry]:[Gene Ontology (GO)]],8,FALSE),IF(C99="NA","NA",IF(_xlpm.x="","NA",_xlpm.x)))</f>
        <v>plasma membrane [GO:0005886]; G protein-coupled receptor activity [GO:0004930]; sensory perception of taste [GO:0050909]</v>
      </c>
      <c r="G99" s="3">
        <v>454.92239708452598</v>
      </c>
      <c r="H99" s="3">
        <v>-0.47199172564505598</v>
      </c>
      <c r="I99" s="3">
        <v>0.229378740887687</v>
      </c>
      <c r="J99" s="2">
        <v>1.3616513880865499E-4</v>
      </c>
      <c r="K99" s="2">
        <v>3.8528295907709197E-2</v>
      </c>
    </row>
    <row r="100" spans="1:11" x14ac:dyDescent="0.25">
      <c r="A100" t="s">
        <v>7</v>
      </c>
      <c r="B100" t="s">
        <v>193</v>
      </c>
      <c r="C100" t="s">
        <v>194</v>
      </c>
      <c r="D100" t="str">
        <f>_xlfn.LET(_xlpm.x,VLOOKUP(C100,[1]!Table1[[#All],[Entry]:[Gene Ontology (GO)]],5,FALSE),IF(C100="NA","NA",IF(_xlpm.x="","NA",_xlpm.x)))</f>
        <v>LOC116305302</v>
      </c>
      <c r="E100" s="4" t="str">
        <f>_xlfn.LET(_xlpm.x,VLOOKUP(C100,[1]!Table1[[#All],[Entry]:[Gene Ontology (GO)]],4,FALSE),IF(C100="NA","NA",IF(_xlpm.x="","NA",_xlpm.x)))</f>
        <v>Frizzled-9-like</v>
      </c>
      <c r="F100" s="4" t="str">
        <f>_xlfn.LET(_xlpm.x,VLOOKUP(C100,[1]!Table1[[#All],[Entry]:[Gene Ontology (GO)]],8,FALSE),IF(C100="NA","NA",IF(_xlpm.x="","NA",_xlpm.x)))</f>
        <v>extracellular space [GO:0005615]; plasma membrane [GO:0005886]; G protein-coupled receptor activity [GO:0004930]; Wnt-protein binding [GO:0017147]; canonical Wnt signaling pathway [GO:0060070]; non-canonical Wnt signaling pathway [GO:0035567]</v>
      </c>
      <c r="G100" s="3">
        <v>17.090767594687701</v>
      </c>
      <c r="H100" s="3">
        <v>0.52123364566260899</v>
      </c>
      <c r="I100" s="3">
        <v>0.83884880585616595</v>
      </c>
      <c r="J100" s="2">
        <v>1.49189460075687E-4</v>
      </c>
      <c r="K100" s="2">
        <v>4.1174784016646503E-2</v>
      </c>
    </row>
    <row r="101" spans="1:11" x14ac:dyDescent="0.25">
      <c r="A101" t="s">
        <v>7</v>
      </c>
      <c r="B101" t="s">
        <v>195</v>
      </c>
      <c r="C101" t="s">
        <v>196</v>
      </c>
      <c r="D101" t="str">
        <f>_xlfn.LET(_xlpm.x,VLOOKUP(C101,[1]!Table1[[#All],[Entry]:[Gene Ontology (GO)]],5,FALSE),IF(C101="NA","NA",IF(_xlpm.x="","NA",_xlpm.x)))</f>
        <v>LOC116307251</v>
      </c>
      <c r="E101" s="4" t="str">
        <f>_xlfn.LET(_xlpm.x,VLOOKUP(C101,[1]!Table1[[#All],[Entry]:[Gene Ontology (GO)]],4,FALSE),IF(C101="NA","NA",IF(_xlpm.x="","NA",_xlpm.x)))</f>
        <v>LIM/homeobox protein Lhx1-like</v>
      </c>
      <c r="F101" s="4" t="str">
        <f>_xlfn.LET(_xlpm.x,VLOOKUP(C101,[1]!Table1[[#All],[Entry]:[Gene Ontology (GO)]],8,FALSE),IF(C101="NA","NA",IF(_xlpm.x="","NA",_xlpm.x)))</f>
        <v>nucleus [GO:0005634]; DNA-binding transcription factor activity, RNA polymerase II-specific [GO:0000981]; RNA polymerase II transcription regulatory region sequence-specific DNA binding [GO:0000977]; zinc ion binding [GO:0008270]; neuron differentiation [GO:0030182]</v>
      </c>
      <c r="G101" s="3">
        <v>224.862881051844</v>
      </c>
      <c r="H101" s="3">
        <v>0.59357305943641603</v>
      </c>
      <c r="I101" s="3">
        <v>0.30237319387293998</v>
      </c>
      <c r="J101" s="2">
        <v>1.56064250372914E-4</v>
      </c>
      <c r="K101" s="2">
        <v>4.2641435129391198E-2</v>
      </c>
    </row>
    <row r="102" spans="1:11" ht="30" x14ac:dyDescent="0.25">
      <c r="A102" t="s">
        <v>7</v>
      </c>
      <c r="B102" t="s">
        <v>197</v>
      </c>
      <c r="C102" t="s">
        <v>198</v>
      </c>
      <c r="D102" t="str">
        <f>_xlfn.LET(_xlpm.x,VLOOKUP(C102,[1]!Table1[[#All],[Entry]:[Gene Ontology (GO)]],5,FALSE),IF(C102="NA","NA",IF(_xlpm.x="","NA",_xlpm.x)))</f>
        <v>LOC116287145</v>
      </c>
      <c r="E102" s="4" t="str">
        <f>_xlfn.LET(_xlpm.x,VLOOKUP(C102,[1]!Table1[[#All],[Entry]:[Gene Ontology (GO)]],4,FALSE),IF(C102="NA","NA",IF(_xlpm.x="","NA",_xlpm.x)))</f>
        <v>von Willebrand factor D and EGF domain-containing protein-like</v>
      </c>
      <c r="F102" s="4" t="str">
        <f>_xlfn.LET(_xlpm.x,VLOOKUP(C102,[1]!Table1[[#All],[Entry]:[Gene Ontology (GO)]],8,FALSE),IF(C102="NA","NA",IF(_xlpm.x="","NA",_xlpm.x)))</f>
        <v>cell surface [GO:0009986]; extracellular region [GO:0005576]; signaling receptor binding [GO:0005102]</v>
      </c>
      <c r="G102" s="3">
        <v>702.75225280814595</v>
      </c>
      <c r="H102" s="3">
        <v>-0.73532036795273803</v>
      </c>
      <c r="I102" s="3">
        <v>0.40492843771501302</v>
      </c>
      <c r="J102" s="2">
        <v>1.5879700979812199E-4</v>
      </c>
      <c r="K102" s="2">
        <v>4.2958521769446402E-2</v>
      </c>
    </row>
    <row r="103" spans="1:11" ht="30" x14ac:dyDescent="0.25">
      <c r="A103" t="s">
        <v>7</v>
      </c>
      <c r="B103" t="s">
        <v>199</v>
      </c>
      <c r="C103" t="s">
        <v>200</v>
      </c>
      <c r="D103" t="str">
        <f>_xlfn.LET(_xlpm.x,VLOOKUP(C103,[1]!Table1[[#All],[Entry]:[Gene Ontology (GO)]],5,FALSE),IF(C103="NA","NA",IF(_xlpm.x="","NA",_xlpm.x)))</f>
        <v>LOC116296508</v>
      </c>
      <c r="E103" s="4" t="str">
        <f>_xlfn.LET(_xlpm.x,VLOOKUP(C103,[1]!Table1[[#All],[Entry]:[Gene Ontology (GO)]],4,FALSE),IF(C103="NA","NA",IF(_xlpm.x="","NA",_xlpm.x)))</f>
        <v>Pollen-specific leucine-rich repeat extensin-like protein 3</v>
      </c>
      <c r="F103" s="4" t="str">
        <f>_xlfn.LET(_xlpm.x,VLOOKUP(C103,[1]!Table1[[#All],[Entry]:[Gene Ontology (GO)]],8,FALSE),IF(C103="NA","NA",IF(_xlpm.x="","NA",_xlpm.x)))</f>
        <v>NA</v>
      </c>
      <c r="G103" s="3">
        <v>1376.2194585741299</v>
      </c>
      <c r="H103" s="3">
        <v>0.83785293526004601</v>
      </c>
      <c r="I103" s="3">
        <v>0.56028673423851305</v>
      </c>
      <c r="J103" s="2">
        <v>1.61611028128585E-4</v>
      </c>
      <c r="K103" s="2">
        <v>4.3291158054483699E-2</v>
      </c>
    </row>
    <row r="104" spans="1:11" ht="30" x14ac:dyDescent="0.25">
      <c r="A104" t="s">
        <v>7</v>
      </c>
      <c r="B104" t="s">
        <v>201</v>
      </c>
      <c r="C104" t="s">
        <v>202</v>
      </c>
      <c r="D104" t="str">
        <f>_xlfn.LET(_xlpm.x,VLOOKUP(C104,[1]!Table1[[#All],[Entry]:[Gene Ontology (GO)]],5,FALSE),IF(C104="NA","NA",IF(_xlpm.x="","NA",_xlpm.x)))</f>
        <v>LOC116306872</v>
      </c>
      <c r="E104" s="4" t="str">
        <f>_xlfn.LET(_xlpm.x,VLOOKUP(C104,[1]!Table1[[#All],[Entry]:[Gene Ontology (GO)]],4,FALSE),IF(C104="NA","NA",IF(_xlpm.x="","NA",_xlpm.x)))</f>
        <v>Ankyrin repeat and BTB/POZ domain-containing protein 1-like</v>
      </c>
      <c r="F104" s="4" t="str">
        <f>_xlfn.LET(_xlpm.x,VLOOKUP(C104,[1]!Table1[[#All],[Entry]:[Gene Ontology (GO)]],8,FALSE),IF(C104="NA","NA",IF(_xlpm.x="","NA",_xlpm.x)))</f>
        <v>cytoplasm [GO:0005737]; ubiquitin ligase complex [GO:0000151]</v>
      </c>
      <c r="G104" s="3">
        <v>291.16722923022797</v>
      </c>
      <c r="H104" s="3">
        <v>-0.48906782816771899</v>
      </c>
      <c r="I104" s="3">
        <v>0.25134129636437402</v>
      </c>
      <c r="J104" s="2">
        <v>1.63357095488766E-4</v>
      </c>
      <c r="K104" s="2">
        <v>4.3334038058636497E-2</v>
      </c>
    </row>
    <row r="105" spans="1:11" ht="30" x14ac:dyDescent="0.25">
      <c r="A105" t="s">
        <v>7</v>
      </c>
      <c r="B105" t="s">
        <v>203</v>
      </c>
      <c r="C105" t="s">
        <v>204</v>
      </c>
      <c r="D105" t="str">
        <f>_xlfn.LET(_xlpm.x,VLOOKUP(C105,[1]!Table1[[#All],[Entry]:[Gene Ontology (GO)]],5,FALSE),IF(C105="NA","NA",IF(_xlpm.x="","NA",_xlpm.x)))</f>
        <v>LOC116307107</v>
      </c>
      <c r="E105" s="4" t="str">
        <f>_xlfn.LET(_xlpm.x,VLOOKUP(C105,[1]!Table1[[#All],[Entry]:[Gene Ontology (GO)]],4,FALSE),IF(C105="NA","NA",IF(_xlpm.x="","NA",_xlpm.x)))</f>
        <v>Uncharacterized protein LOC116307107 isoform X1</v>
      </c>
      <c r="F105" s="4" t="str">
        <f>_xlfn.LET(_xlpm.x,VLOOKUP(C105,[1]!Table1[[#All],[Entry]:[Gene Ontology (GO)]],8,FALSE),IF(C105="NA","NA",IF(_xlpm.x="","NA",_xlpm.x)))</f>
        <v>external side of plasma membrane [GO:0009897]; receptor complex [GO:0043235]; cytokine binding [GO:0019955]; cytokine receptor activity [GO:0004896]</v>
      </c>
      <c r="G105" s="3">
        <v>76.049549645473107</v>
      </c>
      <c r="H105" s="3">
        <v>-0.82221141345343196</v>
      </c>
      <c r="I105" s="3">
        <v>0.67025501083188399</v>
      </c>
      <c r="J105" s="2">
        <v>1.69094516957021E-4</v>
      </c>
      <c r="K105" s="2">
        <v>4.44247066040067E-2</v>
      </c>
    </row>
    <row r="106" spans="1:11" ht="30" x14ac:dyDescent="0.25">
      <c r="A106" t="s">
        <v>7</v>
      </c>
      <c r="B106" t="s">
        <v>205</v>
      </c>
      <c r="C106" t="s">
        <v>206</v>
      </c>
      <c r="D106" t="str">
        <f>_xlfn.LET(_xlpm.x,VLOOKUP(C106,[1]!Table1[[#All],[Entry]:[Gene Ontology (GO)]],5,FALSE),IF(C106="NA","NA",IF(_xlpm.x="","NA",_xlpm.x)))</f>
        <v>LOC116307323</v>
      </c>
      <c r="E106" s="4" t="str">
        <f>_xlfn.LET(_xlpm.x,VLOOKUP(C106,[1]!Table1[[#All],[Entry]:[Gene Ontology (GO)]],4,FALSE),IF(C106="NA","NA",IF(_xlpm.x="","NA",_xlpm.x)))</f>
        <v>Homeobox protein OTX-like isoform X3</v>
      </c>
      <c r="F106" s="4" t="str">
        <f>_xlfn.LET(_xlpm.x,VLOOKUP(C106,[1]!Table1[[#All],[Entry]:[Gene Ontology (GO)]],8,FALSE),IF(C106="NA","NA",IF(_xlpm.x="","NA",_xlpm.x)))</f>
        <v>nucleus [GO:0005634]; DNA-binding transcription factor activity, RNA polymerase II-specific [GO:0000981]; RNA polymerase II cis-regulatory region sequence-specific DNA binding [GO:0000978]; nervous system development [GO:0007399]; positive regulation of transcription by RNA polymerase II [GO:0045944]</v>
      </c>
      <c r="G106" s="3">
        <v>252.71321861815699</v>
      </c>
      <c r="H106" s="3">
        <v>-0.81800546890982895</v>
      </c>
      <c r="I106" s="3">
        <v>0.66285719191428805</v>
      </c>
      <c r="J106" s="2">
        <v>1.7423826093796501E-4</v>
      </c>
      <c r="K106" s="2">
        <v>4.53401143200763E-2</v>
      </c>
    </row>
    <row r="107" spans="1:11" x14ac:dyDescent="0.25">
      <c r="A107" t="s">
        <v>7</v>
      </c>
      <c r="B107" t="s">
        <v>207</v>
      </c>
      <c r="C107" t="s">
        <v>154</v>
      </c>
      <c r="D107" t="str">
        <f>_xlfn.LET(_xlpm.x,VLOOKUP(C107,[1]!Table1[[#All],[Entry]:[Gene Ontology (GO)]],5,FALSE),IF(C107="NA","NA",IF(_xlpm.x="","NA",_xlpm.x)))</f>
        <v>LOC116304503</v>
      </c>
      <c r="E107" s="4" t="str">
        <f>_xlfn.LET(_xlpm.x,VLOOKUP(C107,[1]!Table1[[#All],[Entry]:[Gene Ontology (GO)]],4,FALSE),IF(C107="NA","NA",IF(_xlpm.x="","NA",_xlpm.x)))</f>
        <v>Uncharacterized protein LOC116304503</v>
      </c>
      <c r="F107" s="4" t="str">
        <f>_xlfn.LET(_xlpm.x,VLOOKUP(C107,[1]!Table1[[#All],[Entry]:[Gene Ontology (GO)]],8,FALSE),IF(C107="NA","NA",IF(_xlpm.x="","NA",_xlpm.x)))</f>
        <v>NA</v>
      </c>
      <c r="G107" s="3">
        <v>72.998391751311303</v>
      </c>
      <c r="H107" s="3">
        <v>0.814840723797986</v>
      </c>
      <c r="I107" s="3">
        <v>0.63714057356624398</v>
      </c>
      <c r="J107" s="2">
        <v>1.82325134215805E-4</v>
      </c>
      <c r="K107" s="2">
        <v>4.68888880901994E-2</v>
      </c>
    </row>
    <row r="108" spans="1:11" ht="30" x14ac:dyDescent="0.25">
      <c r="A108" t="s">
        <v>7</v>
      </c>
      <c r="B108" t="s">
        <v>208</v>
      </c>
      <c r="C108" t="s">
        <v>209</v>
      </c>
      <c r="D108" t="str">
        <f>_xlfn.LET(_xlpm.x,VLOOKUP(C108,[1]!Table1[[#All],[Entry]:[Gene Ontology (GO)]],5,FALSE),IF(C108="NA","NA",IF(_xlpm.x="","NA",_xlpm.x)))</f>
        <v>LOC116290110</v>
      </c>
      <c r="E108" s="4" t="str">
        <f>_xlfn.LET(_xlpm.x,VLOOKUP(C108,[1]!Table1[[#All],[Entry]:[Gene Ontology (GO)]],4,FALSE),IF(C108="NA","NA",IF(_xlpm.x="","NA",_xlpm.x)))</f>
        <v>procollagen-proline 4-dioxygenase (EC 1.14.11.2)</v>
      </c>
      <c r="F108" s="4" t="str">
        <f>_xlfn.LET(_xlpm.x,VLOOKUP(C108,[1]!Table1[[#All],[Entry]:[Gene Ontology (GO)]],8,FALSE),IF(C108="NA","NA",IF(_xlpm.x="","NA",_xlpm.x)))</f>
        <v>endoplasmic reticulum lumen [GO:0005788]; iron ion binding [GO:0005506]; L-ascorbic acid binding [GO:0031418]; procollagen-proline 4-dioxygenase activity [GO:0004656]</v>
      </c>
      <c r="G108" s="3">
        <v>328.05464509433801</v>
      </c>
      <c r="H108" s="3">
        <v>0.64503573720581098</v>
      </c>
      <c r="I108" s="3">
        <v>0.35499569943989601</v>
      </c>
      <c r="J108" s="2">
        <v>1.83622260573558E-4</v>
      </c>
      <c r="K108" s="2">
        <v>4.68888880901994E-2</v>
      </c>
    </row>
    <row r="109" spans="1:11" x14ac:dyDescent="0.25">
      <c r="A109" t="s">
        <v>7</v>
      </c>
      <c r="B109" t="s">
        <v>210</v>
      </c>
      <c r="C109" t="s">
        <v>154</v>
      </c>
      <c r="D109" t="str">
        <f>_xlfn.LET(_xlpm.x,VLOOKUP(C109,[1]!Table1[[#All],[Entry]:[Gene Ontology (GO)]],5,FALSE),IF(C109="NA","NA",IF(_xlpm.x="","NA",_xlpm.x)))</f>
        <v>LOC116304503</v>
      </c>
      <c r="E109" s="4" t="str">
        <f>_xlfn.LET(_xlpm.x,VLOOKUP(C109,[1]!Table1[[#All],[Entry]:[Gene Ontology (GO)]],4,FALSE),IF(C109="NA","NA",IF(_xlpm.x="","NA",_xlpm.x)))</f>
        <v>Uncharacterized protein LOC116304503</v>
      </c>
      <c r="F109" s="4" t="str">
        <f>_xlfn.LET(_xlpm.x,VLOOKUP(C109,[1]!Table1[[#All],[Entry]:[Gene Ontology (GO)]],8,FALSE),IF(C109="NA","NA",IF(_xlpm.x="","NA",_xlpm.x)))</f>
        <v>NA</v>
      </c>
      <c r="G109" s="3">
        <v>68.377150485359905</v>
      </c>
      <c r="H109" s="3">
        <v>0.80434441380285804</v>
      </c>
      <c r="I109" s="3">
        <v>0.64010365542037795</v>
      </c>
      <c r="J109" s="2">
        <v>1.9026061871627801E-4</v>
      </c>
      <c r="K109" s="2">
        <v>4.7692576928301499E-2</v>
      </c>
    </row>
    <row r="110" spans="1:11" ht="30" x14ac:dyDescent="0.25">
      <c r="A110" t="s">
        <v>7</v>
      </c>
      <c r="B110" t="s">
        <v>211</v>
      </c>
      <c r="C110" t="s">
        <v>212</v>
      </c>
      <c r="D110" t="str">
        <f>_xlfn.LET(_xlpm.x,VLOOKUP(C110,[1]!Table1[[#All],[Entry]:[Gene Ontology (GO)]],5,FALSE),IF(C110="NA","NA",IF(_xlpm.x="","NA",_xlpm.x)))</f>
        <v>LOC116295585</v>
      </c>
      <c r="E110" s="4" t="str">
        <f>_xlfn.LET(_xlpm.x,VLOOKUP(C110,[1]!Table1[[#All],[Entry]:[Gene Ontology (GO)]],4,FALSE),IF(C110="NA","NA",IF(_xlpm.x="","NA",_xlpm.x)))</f>
        <v>Deleted in malignant brain tumors 1 protein-like isoform X2</v>
      </c>
      <c r="F110" s="4" t="str">
        <f>_xlfn.LET(_xlpm.x,VLOOKUP(C110,[1]!Table1[[#All],[Entry]:[Gene Ontology (GO)]],8,FALSE),IF(C110="NA","NA",IF(_xlpm.x="","NA",_xlpm.x)))</f>
        <v>extracellular region [GO:0005576]; membrane [GO:0016020]</v>
      </c>
      <c r="G110" s="3">
        <v>399.18049012296802</v>
      </c>
      <c r="H110" s="3">
        <v>-0.28320313778964101</v>
      </c>
      <c r="I110" s="3">
        <v>0.81730424804213897</v>
      </c>
      <c r="J110" s="2">
        <v>1.8879047648439999E-4</v>
      </c>
      <c r="K110" s="2">
        <v>4.7692576928301499E-2</v>
      </c>
    </row>
    <row r="111" spans="1:11" x14ac:dyDescent="0.25">
      <c r="A111" t="s">
        <v>7</v>
      </c>
      <c r="B111" t="s">
        <v>213</v>
      </c>
      <c r="C111" t="s">
        <v>214</v>
      </c>
      <c r="D111" t="str">
        <f>_xlfn.LET(_xlpm.x,VLOOKUP(C111,[1]!Table1[[#All],[Entry]:[Gene Ontology (GO)]],5,FALSE),IF(C111="NA","NA",IF(_xlpm.x="","NA",_xlpm.x)))</f>
        <v>LOC116292601</v>
      </c>
      <c r="E111" s="4" t="str">
        <f>_xlfn.LET(_xlpm.x,VLOOKUP(C111,[1]!Table1[[#All],[Entry]:[Gene Ontology (GO)]],4,FALSE),IF(C111="NA","NA",IF(_xlpm.x="","NA",_xlpm.x)))</f>
        <v>Uncharacterized protein LOC116292601</v>
      </c>
      <c r="F111" s="4" t="str">
        <f>_xlfn.LET(_xlpm.x,VLOOKUP(C111,[1]!Table1[[#All],[Entry]:[Gene Ontology (GO)]],8,FALSE),IF(C111="NA","NA",IF(_xlpm.x="","NA",_xlpm.x)))</f>
        <v>G protein-coupled receptor heterodimeric complex [GO:0038039]; G protein-coupled GABA receptor activity [GO:0004965]; gamma-aminobutyric acid signaling pathway [GO:0007214]</v>
      </c>
      <c r="G111" s="3">
        <v>62.652465855276397</v>
      </c>
      <c r="H111" s="3">
        <v>-0.75155054196635895</v>
      </c>
      <c r="I111" s="3">
        <v>0.72129603945920795</v>
      </c>
      <c r="J111" s="2">
        <v>1.92670179770319E-4</v>
      </c>
      <c r="K111" s="2">
        <v>4.7857521107858403E-2</v>
      </c>
    </row>
    <row r="112" spans="1:11" x14ac:dyDescent="0.25">
      <c r="A112" t="s">
        <v>7</v>
      </c>
      <c r="B112" t="s">
        <v>215</v>
      </c>
      <c r="C112" t="s">
        <v>216</v>
      </c>
      <c r="D112" t="str">
        <f>_xlfn.LET(_xlpm.x,VLOOKUP(C112,[1]!Table1[[#All],[Entry]:[Gene Ontology (GO)]],5,FALSE),IF(C112="NA","NA",IF(_xlpm.x="","NA",_xlpm.x)))</f>
        <v>LOC116296849</v>
      </c>
      <c r="E112" s="4" t="str">
        <f>_xlfn.LET(_xlpm.x,VLOOKUP(C112,[1]!Table1[[#All],[Entry]:[Gene Ontology (GO)]],4,FALSE),IF(C112="NA","NA",IF(_xlpm.x="","NA",_xlpm.x)))</f>
        <v>Cholinesterase 1-like</v>
      </c>
      <c r="F112" s="4" t="str">
        <f>_xlfn.LET(_xlpm.x,VLOOKUP(C112,[1]!Table1[[#All],[Entry]:[Gene Ontology (GO)]],8,FALSE),IF(C112="NA","NA",IF(_xlpm.x="","NA",_xlpm.x)))</f>
        <v>NA</v>
      </c>
      <c r="G112" s="3">
        <v>39.350490375592301</v>
      </c>
      <c r="H112" s="3">
        <v>0.79693414231012405</v>
      </c>
      <c r="I112" s="3">
        <v>0.57405326843052196</v>
      </c>
      <c r="J112" s="2">
        <v>1.98341353039154E-4</v>
      </c>
      <c r="K112" s="2">
        <v>4.8288714128800002E-2</v>
      </c>
    </row>
    <row r="113" spans="1:11" x14ac:dyDescent="0.25">
      <c r="A113" t="s">
        <v>7</v>
      </c>
      <c r="B113" t="s">
        <v>217</v>
      </c>
      <c r="C113" t="s">
        <v>83</v>
      </c>
      <c r="D113" t="str">
        <f>_xlfn.LET(_xlpm.x,VLOOKUP(C113,[1]!Table1[[#All],[Entry]:[Gene Ontology (GO)]],5,FALSE),IF(C113="NA","NA",IF(_xlpm.x="","NA",_xlpm.x)))</f>
        <v>NA</v>
      </c>
      <c r="E113" s="4" t="str">
        <f>_xlfn.LET(_xlpm.x,VLOOKUP(C113,[1]!Table1[[#All],[Entry]:[Gene Ontology (GO)]],4,FALSE),IF(C113="NA","NA",IF(_xlpm.x="","NA",_xlpm.x)))</f>
        <v>NA</v>
      </c>
      <c r="F113" s="4" t="str">
        <f>_xlfn.LET(_xlpm.x,VLOOKUP(C113,[1]!Table1[[#All],[Entry]:[Gene Ontology (GO)]],8,FALSE),IF(C113="NA","NA",IF(_xlpm.x="","NA",_xlpm.x)))</f>
        <v>NA</v>
      </c>
      <c r="G113" s="3">
        <v>26593.365735845498</v>
      </c>
      <c r="H113" s="3">
        <v>0.58959626951856003</v>
      </c>
      <c r="I113" s="3">
        <v>0.32816301639298601</v>
      </c>
      <c r="J113" s="2">
        <v>2.00362613803475E-4</v>
      </c>
      <c r="K113" s="2">
        <v>4.8288714128800002E-2</v>
      </c>
    </row>
    <row r="114" spans="1:11" x14ac:dyDescent="0.25">
      <c r="A114" t="s">
        <v>7</v>
      </c>
      <c r="B114" t="s">
        <v>218</v>
      </c>
      <c r="C114" t="s">
        <v>219</v>
      </c>
      <c r="D114" t="str">
        <f>_xlfn.LET(_xlpm.x,VLOOKUP(C114,[1]!Table1[[#All],[Entry]:[Gene Ontology (GO)]],5,FALSE),IF(C114="NA","NA",IF(_xlpm.x="","NA",_xlpm.x)))</f>
        <v>LOC116290136</v>
      </c>
      <c r="E114" s="4" t="str">
        <f>_xlfn.LET(_xlpm.x,VLOOKUP(C114,[1]!Table1[[#All],[Entry]:[Gene Ontology (GO)]],4,FALSE),IF(C114="NA","NA",IF(_xlpm.x="","NA",_xlpm.x)))</f>
        <v>Transmembrane protein 205-like</v>
      </c>
      <c r="F114" s="4" t="str">
        <f>_xlfn.LET(_xlpm.x,VLOOKUP(C114,[1]!Table1[[#All],[Entry]:[Gene Ontology (GO)]],8,FALSE),IF(C114="NA","NA",IF(_xlpm.x="","NA",_xlpm.x)))</f>
        <v>membrane [GO:0016020]</v>
      </c>
      <c r="G114" s="3">
        <v>30.974677238390001</v>
      </c>
      <c r="H114" s="3">
        <v>-0.53699461304585105</v>
      </c>
      <c r="I114" s="3">
        <v>0.78551371679766802</v>
      </c>
      <c r="J114" s="2">
        <v>2.0343145210207099E-4</v>
      </c>
      <c r="K114" s="2">
        <v>4.8288714128800002E-2</v>
      </c>
    </row>
    <row r="115" spans="1:11" x14ac:dyDescent="0.25">
      <c r="A115" t="s">
        <v>7</v>
      </c>
      <c r="B115" t="s">
        <v>220</v>
      </c>
      <c r="C115" t="s">
        <v>221</v>
      </c>
      <c r="D115" t="str">
        <f>_xlfn.LET(_xlpm.x,VLOOKUP(C115,[1]!Table1[[#All],[Entry]:[Gene Ontology (GO)]],5,FALSE),IF(C115="NA","NA",IF(_xlpm.x="","NA",_xlpm.x)))</f>
        <v>LOC116290945</v>
      </c>
      <c r="E115" s="4" t="str">
        <f>_xlfn.LET(_xlpm.x,VLOOKUP(C115,[1]!Table1[[#All],[Entry]:[Gene Ontology (GO)]],4,FALSE),IF(C115="NA","NA",IF(_xlpm.x="","NA",_xlpm.x)))</f>
        <v>Uncharacterized protein LOC116290945</v>
      </c>
      <c r="F115" s="4" t="str">
        <f>_xlfn.LET(_xlpm.x,VLOOKUP(C115,[1]!Table1[[#All],[Entry]:[Gene Ontology (GO)]],8,FALSE),IF(C115="NA","NA",IF(_xlpm.x="","NA",_xlpm.x)))</f>
        <v>NA</v>
      </c>
      <c r="G115" s="3">
        <v>467.16150196840999</v>
      </c>
      <c r="H115" s="3">
        <v>-0.52624766370741105</v>
      </c>
      <c r="I115" s="3">
        <v>0.78810581602274099</v>
      </c>
      <c r="J115" s="2">
        <v>2.0064793201392801E-4</v>
      </c>
      <c r="K115" s="2">
        <v>4.8288714128800002E-2</v>
      </c>
    </row>
    <row r="116" spans="1:11" x14ac:dyDescent="0.25">
      <c r="A116" t="s">
        <v>7</v>
      </c>
      <c r="B116" t="s">
        <v>222</v>
      </c>
      <c r="C116" t="s">
        <v>223</v>
      </c>
      <c r="D116" t="str">
        <f>_xlfn.LET(_xlpm.x,VLOOKUP(C116,[1]!Table1[[#All],[Entry]:[Gene Ontology (GO)]],5,FALSE),IF(C116="NA","NA",IF(_xlpm.x="","NA",_xlpm.x)))</f>
        <v>LOC116306956</v>
      </c>
      <c r="E116" s="4" t="str">
        <f>_xlfn.LET(_xlpm.x,VLOOKUP(C116,[1]!Table1[[#All],[Entry]:[Gene Ontology (GO)]],4,FALSE),IF(C116="NA","NA",IF(_xlpm.x="","NA",_xlpm.x)))</f>
        <v>Uncharacterized protein LOC116306956</v>
      </c>
      <c r="F116" s="4" t="str">
        <f>_xlfn.LET(_xlpm.x,VLOOKUP(C116,[1]!Table1[[#All],[Entry]:[Gene Ontology (GO)]],8,FALSE),IF(C116="NA","NA",IF(_xlpm.x="","NA",_xlpm.x)))</f>
        <v>calcium ion binding [GO:0005509]</v>
      </c>
      <c r="G116" s="3">
        <v>978.63077654230904</v>
      </c>
      <c r="H116" s="3">
        <v>0.447114580583582</v>
      </c>
      <c r="I116" s="3">
        <v>0.78683607834841995</v>
      </c>
      <c r="J116" s="2">
        <v>2.02765933259418E-4</v>
      </c>
      <c r="K116" s="2">
        <v>4.8288714128800002E-2</v>
      </c>
    </row>
    <row r="117" spans="1:11" ht="30" x14ac:dyDescent="0.25">
      <c r="A117" t="s">
        <v>7</v>
      </c>
      <c r="B117" t="s">
        <v>224</v>
      </c>
      <c r="C117" t="s">
        <v>225</v>
      </c>
      <c r="D117" t="str">
        <f>_xlfn.LET(_xlpm.x,VLOOKUP(C117,[1]!Table1[[#All],[Entry]:[Gene Ontology (GO)]],5,FALSE),IF(C117="NA","NA",IF(_xlpm.x="","NA",_xlpm.x)))</f>
        <v>LOC116287411</v>
      </c>
      <c r="E117" s="4" t="str">
        <f>_xlfn.LET(_xlpm.x,VLOOKUP(C117,[1]!Table1[[#All],[Entry]:[Gene Ontology (GO)]],4,FALSE),IF(C117="NA","NA",IF(_xlpm.x="","NA",_xlpm.x)))</f>
        <v>Uncharacterized protein LOC116287411 isoform X1</v>
      </c>
      <c r="F117" s="4" t="str">
        <f>_xlfn.LET(_xlpm.x,VLOOKUP(C117,[1]!Table1[[#All],[Entry]:[Gene Ontology (GO)]],8,FALSE),IF(C117="NA","NA",IF(_xlpm.x="","NA",_xlpm.x)))</f>
        <v>NA</v>
      </c>
      <c r="G117" s="3">
        <v>102.91145071618</v>
      </c>
      <c r="H117" s="3">
        <v>-0.20957275670960901</v>
      </c>
      <c r="I117" s="3">
        <v>0.81066939108594205</v>
      </c>
      <c r="J117" s="2">
        <v>2.05010095485152E-4</v>
      </c>
      <c r="K117" s="2">
        <v>4.8288714128800002E-2</v>
      </c>
    </row>
    <row r="118" spans="1:11" ht="30" x14ac:dyDescent="0.25">
      <c r="A118" t="s">
        <v>7</v>
      </c>
      <c r="B118" t="s">
        <v>226</v>
      </c>
      <c r="C118" t="s">
        <v>227</v>
      </c>
      <c r="D118" t="str">
        <f>_xlfn.LET(_xlpm.x,VLOOKUP(C118,[1]!Table1[[#All],[Entry]:[Gene Ontology (GO)]],5,FALSE),IF(C118="NA","NA",IF(_xlpm.x="","NA",_xlpm.x)))</f>
        <v>LOC116296086</v>
      </c>
      <c r="E118" s="4" t="str">
        <f>_xlfn.LET(_xlpm.x,VLOOKUP(C118,[1]!Table1[[#All],[Entry]:[Gene Ontology (GO)]],4,FALSE),IF(C118="NA","NA",IF(_xlpm.x="","NA",_xlpm.x)))</f>
        <v>Neurogenic locus notch homolog protein 1-like</v>
      </c>
      <c r="F118" s="4" t="str">
        <f>_xlfn.LET(_xlpm.x,VLOOKUP(C118,[1]!Table1[[#All],[Entry]:[Gene Ontology (GO)]],8,FALSE),IF(C118="NA","NA",IF(_xlpm.x="","NA",_xlpm.x)))</f>
        <v>plasma membrane [GO:0005886]; calcium ion binding [GO:0005509]; cell morphogenesis [GO:0000902]; gliogenesis [GO:0042063]; neuron development [GO:0048666]; positive regulation of multicellular organismal process [GO:0051240]; system process [GO:0003008]</v>
      </c>
      <c r="G118" s="3">
        <v>52.495980228168101</v>
      </c>
      <c r="H118" s="3">
        <v>-0.56842542045643396</v>
      </c>
      <c r="I118" s="3">
        <v>0.77871181460648997</v>
      </c>
      <c r="J118" s="2">
        <v>2.0935756306239399E-4</v>
      </c>
      <c r="K118" s="2">
        <v>4.8891253808151999E-2</v>
      </c>
    </row>
    <row r="119" spans="1:11" x14ac:dyDescent="0.25">
      <c r="A119" t="s">
        <v>7</v>
      </c>
      <c r="B119" t="s">
        <v>228</v>
      </c>
      <c r="C119" t="s">
        <v>95</v>
      </c>
      <c r="D119" t="str">
        <f>_xlfn.LET(_xlpm.x,VLOOKUP(C119,[1]!Table1[[#All],[Entry]:[Gene Ontology (GO)]],5,FALSE),IF(C119="NA","NA",IF(_xlpm.x="","NA",_xlpm.x)))</f>
        <v>PACLA_8A045298</v>
      </c>
      <c r="E119" s="4" t="str">
        <f>_xlfn.LET(_xlpm.x,VLOOKUP(C119,[1]!Table1[[#All],[Entry]:[Gene Ontology (GO)]],4,FALSE),IF(C119="NA","NA",IF(_xlpm.x="","NA",_xlpm.x)))</f>
        <v>94 secreted antigen</v>
      </c>
      <c r="F119" s="4" t="str">
        <f>_xlfn.LET(_xlpm.x,VLOOKUP(C119,[1]!Table1[[#All],[Entry]:[Gene Ontology (GO)]],8,FALSE),IF(C119="NA","NA",IF(_xlpm.x="","NA",_xlpm.x)))</f>
        <v>NA</v>
      </c>
      <c r="G119" s="3">
        <v>94.877695434458204</v>
      </c>
      <c r="H119" s="3">
        <v>0.78321674540328701</v>
      </c>
      <c r="I119" s="3">
        <v>0.59905822836312095</v>
      </c>
      <c r="J119" s="2">
        <v>2.1322590837086899E-4</v>
      </c>
      <c r="K119" s="2">
        <v>4.9371668128823501E-2</v>
      </c>
    </row>
    <row r="120" spans="1:11" ht="30" x14ac:dyDescent="0.25">
      <c r="A120" t="s">
        <v>7</v>
      </c>
      <c r="B120" t="s">
        <v>229</v>
      </c>
      <c r="C120" t="s">
        <v>230</v>
      </c>
      <c r="D120" t="str">
        <f>_xlfn.LET(_xlpm.x,VLOOKUP(C120,[1]!Table1[[#All],[Entry]:[Gene Ontology (GO)]],5,FALSE),IF(C120="NA","NA",IF(_xlpm.x="","NA",_xlpm.x)))</f>
        <v>LOC116307630</v>
      </c>
      <c r="E120" s="4" t="str">
        <f>_xlfn.LET(_xlpm.x,VLOOKUP(C120,[1]!Table1[[#All],[Entry]:[Gene Ontology (GO)]],4,FALSE),IF(C120="NA","NA",IF(_xlpm.x="","NA",_xlpm.x)))</f>
        <v>Uncharacterized protein LOC116307630 isoform X2</v>
      </c>
      <c r="F120" s="4" t="str">
        <f>_xlfn.LET(_xlpm.x,VLOOKUP(C120,[1]!Table1[[#All],[Entry]:[Gene Ontology (GO)]],8,FALSE),IF(C120="NA","NA",IF(_xlpm.x="","NA",_xlpm.x)))</f>
        <v>NA</v>
      </c>
      <c r="G120" s="3">
        <v>302.96161273353903</v>
      </c>
      <c r="H120" s="3">
        <v>0.74724427755109502</v>
      </c>
      <c r="I120" s="3">
        <v>0.49052999191459401</v>
      </c>
      <c r="J120" s="2">
        <v>2.1502867574314601E-4</v>
      </c>
      <c r="K120" s="2">
        <v>4.9371668128823501E-2</v>
      </c>
    </row>
    <row r="121" spans="1:11" x14ac:dyDescent="0.25">
      <c r="A121" t="s">
        <v>7</v>
      </c>
      <c r="B121" t="s">
        <v>231</v>
      </c>
      <c r="C121" t="s">
        <v>232</v>
      </c>
      <c r="D121" t="str">
        <f>_xlfn.LET(_xlpm.x,VLOOKUP(C121,[1]!Table1[[#All],[Entry]:[Gene Ontology (GO)]],5,FALSE),IF(C121="NA","NA",IF(_xlpm.x="","NA",_xlpm.x)))</f>
        <v>LOC116293465</v>
      </c>
      <c r="E121" s="4" t="str">
        <f>_xlfn.LET(_xlpm.x,VLOOKUP(C121,[1]!Table1[[#All],[Entry]:[Gene Ontology (GO)]],4,FALSE),IF(C121="NA","NA",IF(_xlpm.x="","NA",_xlpm.x)))</f>
        <v>Collagen alpha-1(I) chain-like</v>
      </c>
      <c r="F121" s="4" t="str">
        <f>_xlfn.LET(_xlpm.x,VLOOKUP(C121,[1]!Table1[[#All],[Entry]:[Gene Ontology (GO)]],8,FALSE),IF(C121="NA","NA",IF(_xlpm.x="","NA",_xlpm.x)))</f>
        <v>extracellular matrix [GO:0031012]; extracellular space [GO:0005615]; membrane [GO:0016020]; extracellular matrix structural constituent conferring tensile strength [GO:0030020]; voltage-gated potassium channel activity [GO:0005249]; extracellular matrix organization [GO:0030198]</v>
      </c>
      <c r="G121" s="3">
        <v>136.163877367749</v>
      </c>
      <c r="H121" s="3">
        <v>0.71584148412417603</v>
      </c>
      <c r="I121" s="3">
        <v>0.71877005264646299</v>
      </c>
      <c r="J121" s="2">
        <v>2.19248663497862E-4</v>
      </c>
      <c r="K121" s="2">
        <v>4.99210936062673E-2</v>
      </c>
    </row>
    <row r="122" spans="1:11" x14ac:dyDescent="0.25">
      <c r="A122" t="s">
        <v>7</v>
      </c>
      <c r="B122" t="s">
        <v>233</v>
      </c>
      <c r="C122" t="s">
        <v>234</v>
      </c>
      <c r="D122" t="str">
        <f>_xlfn.LET(_xlpm.x,VLOOKUP(C122,[1]!Table1[[#All],[Entry]:[Gene Ontology (GO)]],5,FALSE),IF(C122="NA","NA",IF(_xlpm.x="","NA",_xlpm.x)))</f>
        <v>LOC116305856</v>
      </c>
      <c r="E122" s="4" t="str">
        <f>_xlfn.LET(_xlpm.x,VLOOKUP(C122,[1]!Table1[[#All],[Entry]:[Gene Ontology (GO)]],4,FALSE),IF(C122="NA","NA",IF(_xlpm.x="","NA",_xlpm.x)))</f>
        <v>Uncharacterized protein LOC116305856</v>
      </c>
      <c r="F122" s="4" t="str">
        <f>_xlfn.LET(_xlpm.x,VLOOKUP(C122,[1]!Table1[[#All],[Entry]:[Gene Ontology (GO)]],8,FALSE),IF(C122="NA","NA",IF(_xlpm.x="","NA",_xlpm.x)))</f>
        <v>NA</v>
      </c>
      <c r="G122" s="3">
        <v>203.531262087963</v>
      </c>
      <c r="H122" s="3">
        <v>0.70350796756059397</v>
      </c>
      <c r="I122" s="3">
        <v>0.43982175100526799</v>
      </c>
      <c r="J122" s="2">
        <v>2.2153377873792299E-4</v>
      </c>
      <c r="K122" s="2">
        <v>5.00245242682337E-2</v>
      </c>
    </row>
    <row r="123" spans="1:11" x14ac:dyDescent="0.25">
      <c r="A123" t="s">
        <v>7</v>
      </c>
      <c r="B123" t="s">
        <v>235</v>
      </c>
      <c r="C123" t="s">
        <v>236</v>
      </c>
      <c r="D123" t="str">
        <f>_xlfn.LET(_xlpm.x,VLOOKUP(C123,[1]!Table1[[#All],[Entry]:[Gene Ontology (GO)]],5,FALSE),IF(C123="NA","NA",IF(_xlpm.x="","NA",_xlpm.x)))</f>
        <v>NEMVEDRAFT_v1g245995</v>
      </c>
      <c r="E123" s="4" t="str">
        <f>_xlfn.LET(_xlpm.x,VLOOKUP(C123,[1]!Table1[[#All],[Entry]:[Gene Ontology (GO)]],4,FALSE),IF(C123="NA","NA",IF(_xlpm.x="","NA",_xlpm.x)))</f>
        <v>Uncharacterized protein</v>
      </c>
      <c r="F123" s="4" t="str">
        <f>_xlfn.LET(_xlpm.x,VLOOKUP(C123,[1]!Table1[[#All],[Entry]:[Gene Ontology (GO)]],8,FALSE),IF(C123="NA","NA",IF(_xlpm.x="","NA",_xlpm.x)))</f>
        <v>NA</v>
      </c>
      <c r="G123" s="3">
        <v>2097.5264651665302</v>
      </c>
      <c r="H123" s="3">
        <v>-0.723539943277697</v>
      </c>
      <c r="I123" s="3">
        <v>0.46888853374434902</v>
      </c>
      <c r="J123" s="2">
        <v>2.2501917135268399E-4</v>
      </c>
      <c r="K123" s="2">
        <v>5.03950722858146E-2</v>
      </c>
    </row>
    <row r="124" spans="1:11" x14ac:dyDescent="0.25">
      <c r="A124" t="s">
        <v>7</v>
      </c>
      <c r="B124" t="s">
        <v>237</v>
      </c>
      <c r="C124" t="s">
        <v>238</v>
      </c>
      <c r="D124" t="str">
        <f>_xlfn.LET(_xlpm.x,VLOOKUP(C124,[1]!Table1[[#All],[Entry]:[Gene Ontology (GO)]],5,FALSE),IF(C124="NA","NA",IF(_xlpm.x="","NA",_xlpm.x)))</f>
        <v>LOC116296512</v>
      </c>
      <c r="E124" s="4" t="str">
        <f>_xlfn.LET(_xlpm.x,VLOOKUP(C124,[1]!Table1[[#All],[Entry]:[Gene Ontology (GO)]],4,FALSE),IF(C124="NA","NA",IF(_xlpm.x="","NA",_xlpm.x)))</f>
        <v>Leucine-rich repeat extensin-like protein 3</v>
      </c>
      <c r="F124" s="4" t="str">
        <f>_xlfn.LET(_xlpm.x,VLOOKUP(C124,[1]!Table1[[#All],[Entry]:[Gene Ontology (GO)]],8,FALSE),IF(C124="NA","NA",IF(_xlpm.x="","NA",_xlpm.x)))</f>
        <v>NA</v>
      </c>
      <c r="G124" s="3">
        <v>1122.5456875503301</v>
      </c>
      <c r="H124" s="3">
        <v>0.76564870722860201</v>
      </c>
      <c r="I124" s="3">
        <v>0.56360481747302504</v>
      </c>
      <c r="J124" s="2">
        <v>2.2710744927091701E-4</v>
      </c>
      <c r="K124" s="2">
        <v>5.0449242572595698E-2</v>
      </c>
    </row>
    <row r="125" spans="1:11" x14ac:dyDescent="0.25">
      <c r="A125" t="s">
        <v>7</v>
      </c>
      <c r="B125" t="s">
        <v>239</v>
      </c>
      <c r="C125" t="s">
        <v>240</v>
      </c>
      <c r="D125" t="str">
        <f>_xlfn.LET(_xlpm.x,VLOOKUP(C125,[1]!Table1[[#All],[Entry]:[Gene Ontology (GO)]],5,FALSE),IF(C125="NA","NA",IF(_xlpm.x="","NA",_xlpm.x)))</f>
        <v>LOC116294509</v>
      </c>
      <c r="E125" s="4" t="str">
        <f>_xlfn.LET(_xlpm.x,VLOOKUP(C125,[1]!Table1[[#All],[Entry]:[Gene Ontology (GO)]],4,FALSE),IF(C125="NA","NA",IF(_xlpm.x="","NA",_xlpm.x)))</f>
        <v>Polycystin-1-like</v>
      </c>
      <c r="F125" s="4" t="str">
        <f>_xlfn.LET(_xlpm.x,VLOOKUP(C125,[1]!Table1[[#All],[Entry]:[Gene Ontology (GO)]],8,FALSE),IF(C125="NA","NA",IF(_xlpm.x="","NA",_xlpm.x)))</f>
        <v>cilium [GO:0005929]; plasma membrane [GO:0005886]; monoatomic cation channel activity [GO:0005261]; calcium ion transport [GO:0006816]</v>
      </c>
      <c r="G125" s="3">
        <v>250.60305922168001</v>
      </c>
      <c r="H125" s="3">
        <v>-0.63811864249724404</v>
      </c>
      <c r="I125" s="3">
        <v>0.38388621062164302</v>
      </c>
      <c r="J125" s="2">
        <v>2.3058155543338E-4</v>
      </c>
      <c r="K125" s="2">
        <v>5.0807901928276097E-2</v>
      </c>
    </row>
    <row r="126" spans="1:11" x14ac:dyDescent="0.25">
      <c r="A126" t="s">
        <v>7</v>
      </c>
      <c r="B126" t="s">
        <v>241</v>
      </c>
      <c r="C126" t="s">
        <v>242</v>
      </c>
      <c r="D126" t="str">
        <f>_xlfn.LET(_xlpm.x,VLOOKUP(C126,[1]!Table1[[#All],[Entry]:[Gene Ontology (GO)]],5,FALSE),IF(C126="NA","NA",IF(_xlpm.x="","NA",_xlpm.x)))</f>
        <v>LOC116292747</v>
      </c>
      <c r="E126" s="4" t="str">
        <f>_xlfn.LET(_xlpm.x,VLOOKUP(C126,[1]!Table1[[#All],[Entry]:[Gene Ontology (GO)]],4,FALSE),IF(C126="NA","NA",IF(_xlpm.x="","NA",_xlpm.x)))</f>
        <v>Uncharacterized protein LOC116292747</v>
      </c>
      <c r="F126" s="4" t="str">
        <f>_xlfn.LET(_xlpm.x,VLOOKUP(C126,[1]!Table1[[#All],[Entry]:[Gene Ontology (GO)]],8,FALSE),IF(C126="NA","NA",IF(_xlpm.x="","NA",_xlpm.x)))</f>
        <v>NA</v>
      </c>
      <c r="G126" s="3">
        <v>11885.770927313501</v>
      </c>
      <c r="H126" s="3">
        <v>0.72321861440407398</v>
      </c>
      <c r="I126" s="3">
        <v>0.48187833885452502</v>
      </c>
      <c r="J126" s="2">
        <v>2.3533693921362701E-4</v>
      </c>
      <c r="K126" s="2">
        <v>5.1032628493126501E-2</v>
      </c>
    </row>
    <row r="127" spans="1:11" ht="30" x14ac:dyDescent="0.25">
      <c r="A127" t="s">
        <v>7</v>
      </c>
      <c r="B127" t="s">
        <v>243</v>
      </c>
      <c r="C127" t="s">
        <v>244</v>
      </c>
      <c r="D127" t="str">
        <f>_xlfn.LET(_xlpm.x,VLOOKUP(C127,[1]!Table1[[#All],[Entry]:[Gene Ontology (GO)]],5,FALSE),IF(C127="NA","NA",IF(_xlpm.x="","NA",_xlpm.x)))</f>
        <v>LOC116301850</v>
      </c>
      <c r="E127" s="4" t="str">
        <f>_xlfn.LET(_xlpm.x,VLOOKUP(C127,[1]!Table1[[#All],[Entry]:[Gene Ontology (GO)]],4,FALSE),IF(C127="NA","NA",IF(_xlpm.x="","NA",_xlpm.x)))</f>
        <v>Fibroblast growth factor receptor 4-like isoform X3</v>
      </c>
      <c r="F127" s="4" t="str">
        <f>_xlfn.LET(_xlpm.x,VLOOKUP(C127,[1]!Table1[[#All],[Entry]:[Gene Ontology (GO)]],8,FALSE),IF(C127="NA","NA",IF(_xlpm.x="","NA",_xlpm.x)))</f>
        <v>plasma membrane [GO:0005886]; receptor complex [GO:0043235]; ATP binding [GO:0005524]; metal ion binding [GO:0046872]; transmembrane receptor protein tyrosine kinase activity [GO:0004714]; cell surface receptor protein tyrosine kinase signaling pathway [GO:0007169]</v>
      </c>
      <c r="G127" s="3">
        <v>790.44991168516106</v>
      </c>
      <c r="H127" s="3">
        <v>-0.55396068935876996</v>
      </c>
      <c r="I127" s="3">
        <v>0.32346747711422802</v>
      </c>
      <c r="J127" s="2">
        <v>2.3385868988398399E-4</v>
      </c>
      <c r="K127" s="2">
        <v>5.1032628493126501E-2</v>
      </c>
    </row>
    <row r="128" spans="1:11" x14ac:dyDescent="0.25">
      <c r="A128" t="s">
        <v>7</v>
      </c>
      <c r="B128" t="s">
        <v>245</v>
      </c>
      <c r="C128" t="s">
        <v>246</v>
      </c>
      <c r="D128" t="str">
        <f>_xlfn.LET(_xlpm.x,VLOOKUP(C128,[1]!Table1[[#All],[Entry]:[Gene Ontology (GO)]],5,FALSE),IF(C128="NA","NA",IF(_xlpm.x="","NA",_xlpm.x)))</f>
        <v>LOC116304698</v>
      </c>
      <c r="E128" s="4" t="str">
        <f>_xlfn.LET(_xlpm.x,VLOOKUP(C128,[1]!Table1[[#All],[Entry]:[Gene Ontology (GO)]],4,FALSE),IF(C128="NA","NA",IF(_xlpm.x="","NA",_xlpm.x)))</f>
        <v>Uncharacterized protein LOC116304698</v>
      </c>
      <c r="F128" s="4" t="str">
        <f>_xlfn.LET(_xlpm.x,VLOOKUP(C128,[1]!Table1[[#All],[Entry]:[Gene Ontology (GO)]],8,FALSE),IF(C128="NA","NA",IF(_xlpm.x="","NA",_xlpm.x)))</f>
        <v>NA</v>
      </c>
      <c r="G128" s="3">
        <v>71.1685288231496</v>
      </c>
      <c r="H128" s="3">
        <v>0.58128818985202402</v>
      </c>
      <c r="I128" s="3">
        <v>0.756827860433128</v>
      </c>
      <c r="J128" s="2">
        <v>2.4089343622592601E-4</v>
      </c>
      <c r="K128" s="2">
        <v>5.1826231165362002E-2</v>
      </c>
    </row>
    <row r="129" spans="1:11" x14ac:dyDescent="0.25">
      <c r="A129" t="s">
        <v>7</v>
      </c>
      <c r="B129" t="s">
        <v>247</v>
      </c>
      <c r="C129" t="s">
        <v>99</v>
      </c>
      <c r="D129" t="str">
        <f>_xlfn.LET(_xlpm.x,VLOOKUP(C129,[1]!Table1[[#All],[Entry]:[Gene Ontology (GO)]],5,FALSE),IF(C129="NA","NA",IF(_xlpm.x="","NA",_xlpm.x)))</f>
        <v>LOC116288275</v>
      </c>
      <c r="E129" s="4" t="str">
        <f>_xlfn.LET(_xlpm.x,VLOOKUP(C129,[1]!Table1[[#All],[Entry]:[Gene Ontology (GO)]],4,FALSE),IF(C129="NA","NA",IF(_xlpm.x="","NA",_xlpm.x)))</f>
        <v>Uncharacterized protein LOC116288275</v>
      </c>
      <c r="F129" s="4" t="str">
        <f>_xlfn.LET(_xlpm.x,VLOOKUP(C129,[1]!Table1[[#All],[Entry]:[Gene Ontology (GO)]],8,FALSE),IF(C129="NA","NA",IF(_xlpm.x="","NA",_xlpm.x)))</f>
        <v>NA</v>
      </c>
      <c r="G129" s="3">
        <v>285.22554088237399</v>
      </c>
      <c r="H129" s="3">
        <v>0.74828331032626005</v>
      </c>
      <c r="I129" s="3">
        <v>0.59221047429652696</v>
      </c>
      <c r="J129" s="2">
        <v>2.49310235443917E-4</v>
      </c>
      <c r="K129" s="2">
        <v>5.3217996586204297E-2</v>
      </c>
    </row>
    <row r="130" spans="1:11" x14ac:dyDescent="0.25">
      <c r="A130" t="s">
        <v>7</v>
      </c>
      <c r="B130" t="s">
        <v>248</v>
      </c>
      <c r="C130" t="s">
        <v>249</v>
      </c>
      <c r="D130" t="str">
        <f>_xlfn.LET(_xlpm.x,VLOOKUP(C130,[1]!Table1[[#All],[Entry]:[Gene Ontology (GO)]],5,FALSE),IF(C130="NA","NA",IF(_xlpm.x="","NA",_xlpm.x)))</f>
        <v>LOC116298426</v>
      </c>
      <c r="E130" s="4" t="str">
        <f>_xlfn.LET(_xlpm.x,VLOOKUP(C130,[1]!Table1[[#All],[Entry]:[Gene Ontology (GO)]],4,FALSE),IF(C130="NA","NA",IF(_xlpm.x="","NA",_xlpm.x)))</f>
        <v>Krueppel-like factor 12 isoform X2</v>
      </c>
      <c r="F130" s="4" t="str">
        <f>_xlfn.LET(_xlpm.x,VLOOKUP(C130,[1]!Table1[[#All],[Entry]:[Gene Ontology (GO)]],8,FALSE),IF(C130="NA","NA",IF(_xlpm.x="","NA",_xlpm.x)))</f>
        <v>nucleus [GO:0005634]; zinc ion binding [GO:0008270]</v>
      </c>
      <c r="G130" s="3">
        <v>145.62583267559401</v>
      </c>
      <c r="H130" s="3">
        <v>0.73072112025009395</v>
      </c>
      <c r="I130" s="3">
        <v>0.64434554753107598</v>
      </c>
      <c r="J130" s="2">
        <v>2.5796218532255698E-4</v>
      </c>
      <c r="K130" s="2">
        <v>5.3803822821131497E-2</v>
      </c>
    </row>
    <row r="131" spans="1:11" x14ac:dyDescent="0.25">
      <c r="A131" t="s">
        <v>7</v>
      </c>
      <c r="B131" t="s">
        <v>250</v>
      </c>
      <c r="C131" t="s">
        <v>251</v>
      </c>
      <c r="D131" t="str">
        <f>_xlfn.LET(_xlpm.x,VLOOKUP(C131,[1]!Table1[[#All],[Entry]:[Gene Ontology (GO)]],5,FALSE),IF(C131="NA","NA",IF(_xlpm.x="","NA",_xlpm.x)))</f>
        <v>LOC116308105</v>
      </c>
      <c r="E131" s="4" t="str">
        <f>_xlfn.LET(_xlpm.x,VLOOKUP(C131,[1]!Table1[[#All],[Entry]:[Gene Ontology (GO)]],4,FALSE),IF(C131="NA","NA",IF(_xlpm.x="","NA",_xlpm.x)))</f>
        <v>Folliculin-interacting protein 1-like</v>
      </c>
      <c r="F131" s="4" t="str">
        <f>_xlfn.LET(_xlpm.x,VLOOKUP(C131,[1]!Table1[[#All],[Entry]:[Gene Ontology (GO)]],8,FALSE),IF(C131="NA","NA",IF(_xlpm.x="","NA",_xlpm.x)))</f>
        <v>lysosomal membrane [GO:0005765]; ATPase inhibitor activity [GO:0042030]; protein-folding chaperone binding [GO:0051087]</v>
      </c>
      <c r="G131" s="3">
        <v>2360.2835577155802</v>
      </c>
      <c r="H131" s="3">
        <v>0.487979021188644</v>
      </c>
      <c r="I131" s="3">
        <v>0.29232556146183197</v>
      </c>
      <c r="J131" s="2">
        <v>2.5649525552312997E-4</v>
      </c>
      <c r="K131" s="2">
        <v>5.3803822821131497E-2</v>
      </c>
    </row>
    <row r="132" spans="1:11" ht="30" x14ac:dyDescent="0.25">
      <c r="A132" t="s">
        <v>7</v>
      </c>
      <c r="B132" t="s">
        <v>252</v>
      </c>
      <c r="C132" t="s">
        <v>253</v>
      </c>
      <c r="D132" t="str">
        <f>_xlfn.LET(_xlpm.x,VLOOKUP(C132,[1]!Table1[[#All],[Entry]:[Gene Ontology (GO)]],5,FALSE),IF(C132="NA","NA",IF(_xlpm.x="","NA",_xlpm.x)))</f>
        <v>LOC116286442</v>
      </c>
      <c r="E132" s="4" t="str">
        <f>_xlfn.LET(_xlpm.x,VLOOKUP(C132,[1]!Table1[[#All],[Entry]:[Gene Ontology (GO)]],4,FALSE),IF(C132="NA","NA",IF(_xlpm.x="","NA",_xlpm.x)))</f>
        <v>Leucine-rich repeats and immunoglobulin-like domains protein 1</v>
      </c>
      <c r="F132" s="4" t="str">
        <f>_xlfn.LET(_xlpm.x,VLOOKUP(C132,[1]!Table1[[#All],[Entry]:[Gene Ontology (GO)]],8,FALSE),IF(C132="NA","NA",IF(_xlpm.x="","NA",_xlpm.x)))</f>
        <v>NA</v>
      </c>
      <c r="G132" s="3">
        <v>1604.64826652281</v>
      </c>
      <c r="H132" s="3">
        <v>-0.46755692509787</v>
      </c>
      <c r="I132" s="3">
        <v>0.280690835687604</v>
      </c>
      <c r="J132" s="2">
        <v>2.5763411918081801E-4</v>
      </c>
      <c r="K132" s="2">
        <v>5.3803822821131497E-2</v>
      </c>
    </row>
    <row r="133" spans="1:11" ht="30" x14ac:dyDescent="0.25">
      <c r="A133" t="s">
        <v>7</v>
      </c>
      <c r="B133" t="s">
        <v>254</v>
      </c>
      <c r="C133" t="s">
        <v>255</v>
      </c>
      <c r="D133" t="str">
        <f>_xlfn.LET(_xlpm.x,VLOOKUP(C133,[1]!Table1[[#All],[Entry]:[Gene Ontology (GO)]],5,FALSE),IF(C133="NA","NA",IF(_xlpm.x="","NA",_xlpm.x)))</f>
        <v>LOC116303329</v>
      </c>
      <c r="E133" s="4" t="str">
        <f>_xlfn.LET(_xlpm.x,VLOOKUP(C133,[1]!Table1[[#All],[Entry]:[Gene Ontology (GO)]],4,FALSE),IF(C133="NA","NA",IF(_xlpm.x="","NA",_xlpm.x)))</f>
        <v>SMC5-SMC6 complex localization factor protein 1-like</v>
      </c>
      <c r="F133" s="4" t="str">
        <f>_xlfn.LET(_xlpm.x,VLOOKUP(C133,[1]!Table1[[#All],[Entry]:[Gene Ontology (GO)]],8,FALSE),IF(C133="NA","NA",IF(_xlpm.x="","NA",_xlpm.x)))</f>
        <v>centrosome [GO:0005813]; nucleus [GO:0005634]; site of double-strand break [GO:0035861]; DNA repair [GO:0006281]; positive regulation of double-strand break repair [GO:2000781]; protein localization to site of double-strand break [GO:1990166]</v>
      </c>
      <c r="G133" s="3">
        <v>3753.79087181254</v>
      </c>
      <c r="H133" s="3">
        <v>0.50670164721988897</v>
      </c>
      <c r="I133" s="3">
        <v>0.30659992437733402</v>
      </c>
      <c r="J133" s="2">
        <v>2.6308032156891799E-4</v>
      </c>
      <c r="K133" s="2">
        <v>5.43166198192249E-2</v>
      </c>
    </row>
    <row r="134" spans="1:11" x14ac:dyDescent="0.25">
      <c r="A134" t="s">
        <v>7</v>
      </c>
      <c r="B134" t="s">
        <v>256</v>
      </c>
      <c r="C134" t="s">
        <v>257</v>
      </c>
      <c r="D134" t="str">
        <f>_xlfn.LET(_xlpm.x,VLOOKUP(C134,[1]!Table1[[#All],[Entry]:[Gene Ontology (GO)]],5,FALSE),IF(C134="NA","NA",IF(_xlpm.x="","NA",_xlpm.x)))</f>
        <v>LOC116294819</v>
      </c>
      <c r="E134" s="4" t="str">
        <f>_xlfn.LET(_xlpm.x,VLOOKUP(C134,[1]!Table1[[#All],[Entry]:[Gene Ontology (GO)]],4,FALSE),IF(C134="NA","NA",IF(_xlpm.x="","NA",_xlpm.x)))</f>
        <v>Uncharacterized protein LOC116294819</v>
      </c>
      <c r="F134" s="4" t="str">
        <f>_xlfn.LET(_xlpm.x,VLOOKUP(C134,[1]!Table1[[#All],[Entry]:[Gene Ontology (GO)]],8,FALSE),IF(C134="NA","NA",IF(_xlpm.x="","NA",_xlpm.x)))</f>
        <v>NA</v>
      </c>
      <c r="G134" s="3">
        <v>569.42907355121201</v>
      </c>
      <c r="H134" s="3">
        <v>0.44156786041236901</v>
      </c>
      <c r="I134" s="3">
        <v>0.26824834303394501</v>
      </c>
      <c r="J134" s="2">
        <v>2.6439667810844003E-4</v>
      </c>
      <c r="K134" s="2">
        <v>5.43166198192249E-2</v>
      </c>
    </row>
    <row r="135" spans="1:11" ht="30" x14ac:dyDescent="0.25">
      <c r="A135" t="s">
        <v>7</v>
      </c>
      <c r="B135" t="s">
        <v>258</v>
      </c>
      <c r="C135" t="s">
        <v>255</v>
      </c>
      <c r="D135" t="str">
        <f>_xlfn.LET(_xlpm.x,VLOOKUP(C135,[1]!Table1[[#All],[Entry]:[Gene Ontology (GO)]],5,FALSE),IF(C135="NA","NA",IF(_xlpm.x="","NA",_xlpm.x)))</f>
        <v>LOC116303329</v>
      </c>
      <c r="E135" s="4" t="str">
        <f>_xlfn.LET(_xlpm.x,VLOOKUP(C135,[1]!Table1[[#All],[Entry]:[Gene Ontology (GO)]],4,FALSE),IF(C135="NA","NA",IF(_xlpm.x="","NA",_xlpm.x)))</f>
        <v>SMC5-SMC6 complex localization factor protein 1-like</v>
      </c>
      <c r="F135" s="4" t="str">
        <f>_xlfn.LET(_xlpm.x,VLOOKUP(C135,[1]!Table1[[#All],[Entry]:[Gene Ontology (GO)]],8,FALSE),IF(C135="NA","NA",IF(_xlpm.x="","NA",_xlpm.x)))</f>
        <v>centrosome [GO:0005813]; nucleus [GO:0005634]; site of double-strand break [GO:0035861]; DNA repair [GO:0006281]; positive regulation of double-strand break repair [GO:2000781]; protein localization to site of double-strand break [GO:1990166]</v>
      </c>
      <c r="G135" s="3">
        <v>3989.8825951555</v>
      </c>
      <c r="H135" s="3">
        <v>0.497792339966594</v>
      </c>
      <c r="I135" s="3">
        <v>0.30285454706545401</v>
      </c>
      <c r="J135" s="2">
        <v>2.6757851818684302E-4</v>
      </c>
      <c r="K135" s="2">
        <v>5.4560058600142701E-2</v>
      </c>
    </row>
    <row r="136" spans="1:11" x14ac:dyDescent="0.25">
      <c r="A136" t="s">
        <v>7</v>
      </c>
      <c r="B136" t="s">
        <v>259</v>
      </c>
      <c r="C136" t="s">
        <v>260</v>
      </c>
      <c r="D136" t="str">
        <f>_xlfn.LET(_xlpm.x,VLOOKUP(C136,[1]!Table1[[#All],[Entry]:[Gene Ontology (GO)]],5,FALSE),IF(C136="NA","NA",IF(_xlpm.x="","NA",_xlpm.x)))</f>
        <v>LOC116299669</v>
      </c>
      <c r="E136" s="4" t="str">
        <f>_xlfn.LET(_xlpm.x,VLOOKUP(C136,[1]!Table1[[#All],[Entry]:[Gene Ontology (GO)]],4,FALSE),IF(C136="NA","NA",IF(_xlpm.x="","NA",_xlpm.x)))</f>
        <v>Cuticle collagen 1-like</v>
      </c>
      <c r="F136" s="4" t="str">
        <f>_xlfn.LET(_xlpm.x,VLOOKUP(C136,[1]!Table1[[#All],[Entry]:[Gene Ontology (GO)]],8,FALSE),IF(C136="NA","NA",IF(_xlpm.x="","NA",_xlpm.x)))</f>
        <v>carbohydrate binding [GO:0030246]</v>
      </c>
      <c r="G136" s="3">
        <v>315.95158862305101</v>
      </c>
      <c r="H136" s="3">
        <v>0.71986879314678798</v>
      </c>
      <c r="I136" s="3">
        <v>0.54470186464311199</v>
      </c>
      <c r="J136" s="2">
        <v>2.7496660412059602E-4</v>
      </c>
      <c r="K136" s="2">
        <v>5.4621886384512999E-2</v>
      </c>
    </row>
    <row r="137" spans="1:11" x14ac:dyDescent="0.25">
      <c r="A137" t="s">
        <v>7</v>
      </c>
      <c r="B137" t="s">
        <v>261</v>
      </c>
      <c r="C137" t="s">
        <v>262</v>
      </c>
      <c r="D137" t="str">
        <f>_xlfn.LET(_xlpm.x,VLOOKUP(C137,[1]!Table1[[#All],[Entry]:[Gene Ontology (GO)]],5,FALSE),IF(C137="NA","NA",IF(_xlpm.x="","NA",_xlpm.x)))</f>
        <v>LOC116294827</v>
      </c>
      <c r="E137" s="4" t="str">
        <f>_xlfn.LET(_xlpm.x,VLOOKUP(C137,[1]!Table1[[#All],[Entry]:[Gene Ontology (GO)]],4,FALSE),IF(C137="NA","NA",IF(_xlpm.x="","NA",_xlpm.x)))</f>
        <v>Serine/threonine-protein kinase Nek7-like</v>
      </c>
      <c r="F137" s="4" t="str">
        <f>_xlfn.LET(_xlpm.x,VLOOKUP(C137,[1]!Table1[[#All],[Entry]:[Gene Ontology (GO)]],8,FALSE),IF(C137="NA","NA",IF(_xlpm.x="","NA",_xlpm.x)))</f>
        <v>cytoplasm [GO:0005737]; ATP binding [GO:0005524]; protein serine/threonine kinase activity [GO:0004674]; DNA damage response [GO:0006974]; intracellular signal transduction [GO:0035556]</v>
      </c>
      <c r="G137" s="3">
        <v>177.18873380943199</v>
      </c>
      <c r="H137" s="3">
        <v>0.70864340115390601</v>
      </c>
      <c r="I137" s="3">
        <v>0.50598885312406905</v>
      </c>
      <c r="J137" s="2">
        <v>2.6992960608914401E-4</v>
      </c>
      <c r="K137" s="2">
        <v>5.4621886384512999E-2</v>
      </c>
    </row>
    <row r="138" spans="1:11" ht="30" x14ac:dyDescent="0.25">
      <c r="A138" t="s">
        <v>7</v>
      </c>
      <c r="B138" t="s">
        <v>263</v>
      </c>
      <c r="C138" t="s">
        <v>264</v>
      </c>
      <c r="D138" t="str">
        <f>_xlfn.LET(_xlpm.x,VLOOKUP(C138,[1]!Table1[[#All],[Entry]:[Gene Ontology (GO)]],5,FALSE),IF(C138="NA","NA",IF(_xlpm.x="","NA",_xlpm.x)))</f>
        <v>LOC116293586</v>
      </c>
      <c r="E138" s="4" t="str">
        <f>_xlfn.LET(_xlpm.x,VLOOKUP(C138,[1]!Table1[[#All],[Entry]:[Gene Ontology (GO)]],4,FALSE),IF(C138="NA","NA",IF(_xlpm.x="","NA",_xlpm.x)))</f>
        <v>Fibrinogen C domain-containing protein 1-like</v>
      </c>
      <c r="F138" s="4" t="str">
        <f>_xlfn.LET(_xlpm.x,VLOOKUP(C138,[1]!Table1[[#All],[Entry]:[Gene Ontology (GO)]],8,FALSE),IF(C138="NA","NA",IF(_xlpm.x="","NA",_xlpm.x)))</f>
        <v>extracellular space [GO:0005615]</v>
      </c>
      <c r="G138" s="3">
        <v>5509.4996546926704</v>
      </c>
      <c r="H138" s="3">
        <v>-0.61408593888861396</v>
      </c>
      <c r="I138" s="3">
        <v>0.39328053015461101</v>
      </c>
      <c r="J138" s="2">
        <v>2.7587820960592899E-4</v>
      </c>
      <c r="K138" s="2">
        <v>5.4621886384512999E-2</v>
      </c>
    </row>
    <row r="139" spans="1:11" x14ac:dyDescent="0.25">
      <c r="A139" t="s">
        <v>7</v>
      </c>
      <c r="B139" t="s">
        <v>265</v>
      </c>
      <c r="C139" t="s">
        <v>83</v>
      </c>
      <c r="D139" t="str">
        <f>_xlfn.LET(_xlpm.x,VLOOKUP(C139,[1]!Table1[[#All],[Entry]:[Gene Ontology (GO)]],5,FALSE),IF(C139="NA","NA",IF(_xlpm.x="","NA",_xlpm.x)))</f>
        <v>NA</v>
      </c>
      <c r="E139" s="4" t="str">
        <f>_xlfn.LET(_xlpm.x,VLOOKUP(C139,[1]!Table1[[#All],[Entry]:[Gene Ontology (GO)]],4,FALSE),IF(C139="NA","NA",IF(_xlpm.x="","NA",_xlpm.x)))</f>
        <v>NA</v>
      </c>
      <c r="F139" s="4" t="str">
        <f>_xlfn.LET(_xlpm.x,VLOOKUP(C139,[1]!Table1[[#All],[Entry]:[Gene Ontology (GO)]],8,FALSE),IF(C139="NA","NA",IF(_xlpm.x="","NA",_xlpm.x)))</f>
        <v>NA</v>
      </c>
      <c r="G139" s="3">
        <v>845.80406595919203</v>
      </c>
      <c r="H139" s="3">
        <v>0.60128040492294399</v>
      </c>
      <c r="I139" s="3">
        <v>0.38070678358187698</v>
      </c>
      <c r="J139" s="2">
        <v>2.73773629467112E-4</v>
      </c>
      <c r="K139" s="2">
        <v>5.4621886384512999E-2</v>
      </c>
    </row>
    <row r="140" spans="1:11" x14ac:dyDescent="0.25">
      <c r="A140" t="s">
        <v>7</v>
      </c>
      <c r="B140" t="s">
        <v>266</v>
      </c>
      <c r="C140" t="s">
        <v>267</v>
      </c>
      <c r="D140" t="str">
        <f>_xlfn.LET(_xlpm.x,VLOOKUP(C140,[1]!Table1[[#All],[Entry]:[Gene Ontology (GO)]],5,FALSE),IF(C140="NA","NA",IF(_xlpm.x="","NA",_xlpm.x)))</f>
        <v>NA</v>
      </c>
      <c r="E140" s="4" t="str">
        <f>_xlfn.LET(_xlpm.x,VLOOKUP(C140,[1]!Table1[[#All],[Entry]:[Gene Ontology (GO)]],4,FALSE),IF(C140="NA","NA",IF(_xlpm.x="","NA",_xlpm.x)))</f>
        <v>Uncharacterized protein</v>
      </c>
      <c r="F140" s="4" t="str">
        <f>_xlfn.LET(_xlpm.x,VLOOKUP(C140,[1]!Table1[[#All],[Entry]:[Gene Ontology (GO)]],8,FALSE),IF(C140="NA","NA",IF(_xlpm.x="","NA",_xlpm.x)))</f>
        <v>NA</v>
      </c>
      <c r="G140" s="3">
        <v>17534.3798059933</v>
      </c>
      <c r="H140" s="3">
        <v>-0.71488011157130404</v>
      </c>
      <c r="I140" s="3">
        <v>0.59020303282557396</v>
      </c>
      <c r="J140" s="2">
        <v>2.8936508325812102E-4</v>
      </c>
      <c r="K140" s="2">
        <v>5.5678325139870699E-2</v>
      </c>
    </row>
    <row r="141" spans="1:11" x14ac:dyDescent="0.25">
      <c r="A141" t="s">
        <v>7</v>
      </c>
      <c r="B141" t="s">
        <v>268</v>
      </c>
      <c r="C141" t="s">
        <v>269</v>
      </c>
      <c r="D141" t="str">
        <f>_xlfn.LET(_xlpm.x,VLOOKUP(C141,[1]!Table1[[#All],[Entry]:[Gene Ontology (GO)]],5,FALSE),IF(C141="NA","NA",IF(_xlpm.x="","NA",_xlpm.x)))</f>
        <v>LOC116296498</v>
      </c>
      <c r="E141" s="4" t="str">
        <f>_xlfn.LET(_xlpm.x,VLOOKUP(C141,[1]!Table1[[#All],[Entry]:[Gene Ontology (GO)]],4,FALSE),IF(C141="NA","NA",IF(_xlpm.x="","NA",_xlpm.x)))</f>
        <v>Leucine-rich repeat extensin-like protein 3</v>
      </c>
      <c r="F141" s="4" t="str">
        <f>_xlfn.LET(_xlpm.x,VLOOKUP(C141,[1]!Table1[[#All],[Entry]:[Gene Ontology (GO)]],8,FALSE),IF(C141="NA","NA",IF(_xlpm.x="","NA",_xlpm.x)))</f>
        <v>NA</v>
      </c>
      <c r="G141" s="3">
        <v>140.54913629045899</v>
      </c>
      <c r="H141" s="3">
        <v>0.71260288631175095</v>
      </c>
      <c r="I141" s="3">
        <v>0.558552335464502</v>
      </c>
      <c r="J141" s="2">
        <v>2.8870464014980099E-4</v>
      </c>
      <c r="K141" s="2">
        <v>5.5678325139870699E-2</v>
      </c>
    </row>
    <row r="142" spans="1:11" x14ac:dyDescent="0.25">
      <c r="A142" t="s">
        <v>7</v>
      </c>
      <c r="B142" t="s">
        <v>270</v>
      </c>
      <c r="C142" t="s">
        <v>83</v>
      </c>
      <c r="D142" t="str">
        <f>_xlfn.LET(_xlpm.x,VLOOKUP(C142,[1]!Table1[[#All],[Entry]:[Gene Ontology (GO)]],5,FALSE),IF(C142="NA","NA",IF(_xlpm.x="","NA",_xlpm.x)))</f>
        <v>NA</v>
      </c>
      <c r="E142" s="4" t="str">
        <f>_xlfn.LET(_xlpm.x,VLOOKUP(C142,[1]!Table1[[#All],[Entry]:[Gene Ontology (GO)]],4,FALSE),IF(C142="NA","NA",IF(_xlpm.x="","NA",_xlpm.x)))</f>
        <v>NA</v>
      </c>
      <c r="F142" s="4" t="str">
        <f>_xlfn.LET(_xlpm.x,VLOOKUP(C142,[1]!Table1[[#All],[Entry]:[Gene Ontology (GO)]],8,FALSE),IF(C142="NA","NA",IF(_xlpm.x="","NA",_xlpm.x)))</f>
        <v>NA</v>
      </c>
      <c r="G142" s="3">
        <v>1742.30869884512</v>
      </c>
      <c r="H142" s="3">
        <v>0.62324289381356901</v>
      </c>
      <c r="I142" s="3">
        <v>0.40915279702520102</v>
      </c>
      <c r="J142" s="2">
        <v>2.8687010424971199E-4</v>
      </c>
      <c r="K142" s="2">
        <v>5.5678325139870699E-2</v>
      </c>
    </row>
    <row r="143" spans="1:11" x14ac:dyDescent="0.25">
      <c r="A143" t="s">
        <v>7</v>
      </c>
      <c r="B143" t="s">
        <v>271</v>
      </c>
      <c r="C143" t="s">
        <v>272</v>
      </c>
      <c r="D143" t="str">
        <f>_xlfn.LET(_xlpm.x,VLOOKUP(C143,[1]!Table1[[#All],[Entry]:[Gene Ontology (GO)]],5,FALSE),IF(C143="NA","NA",IF(_xlpm.x="","NA",_xlpm.x)))</f>
        <v>LOC116291170</v>
      </c>
      <c r="E143" s="4" t="str">
        <f>_xlfn.LET(_xlpm.x,VLOOKUP(C143,[1]!Table1[[#All],[Entry]:[Gene Ontology (GO)]],4,FALSE),IF(C143="NA","NA",IF(_xlpm.x="","NA",_xlpm.x)))</f>
        <v>Uncharacterized protein LOC116291170</v>
      </c>
      <c r="F143" s="4" t="str">
        <f>_xlfn.LET(_xlpm.x,VLOOKUP(C143,[1]!Table1[[#All],[Entry]:[Gene Ontology (GO)]],8,FALSE),IF(C143="NA","NA",IF(_xlpm.x="","NA",_xlpm.x)))</f>
        <v>DNA binding [GO:0003677]</v>
      </c>
      <c r="G143" s="3">
        <v>136.20303441704201</v>
      </c>
      <c r="H143" s="3">
        <v>0.59876765830930301</v>
      </c>
      <c r="I143" s="3">
        <v>0.38552008966659101</v>
      </c>
      <c r="J143" s="2">
        <v>2.8555133232482103E-4</v>
      </c>
      <c r="K143" s="2">
        <v>5.5678325139870699E-2</v>
      </c>
    </row>
    <row r="144" spans="1:11" ht="60" x14ac:dyDescent="0.25">
      <c r="A144" t="s">
        <v>7</v>
      </c>
      <c r="B144" t="s">
        <v>273</v>
      </c>
      <c r="C144" t="s">
        <v>274</v>
      </c>
      <c r="D144" t="str">
        <f>_xlfn.LET(_xlpm.x,VLOOKUP(C144,[1]!Table1[[#All],[Entry]:[Gene Ontology (GO)]],5,FALSE),IF(C144="NA","NA",IF(_xlpm.x="","NA",_xlpm.x)))</f>
        <v>LOC116297293</v>
      </c>
      <c r="E144" s="4" t="str">
        <f>_xlfn.LET(_xlpm.x,VLOOKUP(C144,[1]!Table1[[#All],[Entry]:[Gene Ontology (GO)]],4,FALSE),IF(C144="NA","NA",IF(_xlpm.x="","NA",_xlpm.x)))</f>
        <v>Fibropellin-3-like isoform X1</v>
      </c>
      <c r="F144" s="4" t="str">
        <f>_xlfn.LET(_xlpm.x,VLOOKUP(C144,[1]!Table1[[#All],[Entry]:[Gene Ontology (GO)]],8,FALSE),IF(C144="NA","NA",IF(_xlpm.x="","NA",_xlpm.x)))</f>
        <v>apical plasma membrane [GO:0016324]; cell-cell junction [GO:0005911]; cytoplasm [GO:0005737]; extracellular region [GO:0005576]; calcium ion binding [GO:0005509]; Notch binding [GO:0005112]; embryo development ending in birth or egg hatching [GO:0009792]; embryonic morphogenesis [GO:0048598]; epithelial cell development [GO:0002064]; epithelial tube morphogenesis [GO:0060562]; eye morphogenesis [GO:0048592]; multicellular organismal-level homeostasis [GO:0048871]; negative regulation of developmental process [GO:0051093]; negative regulation of multicellular organismal process [GO:0051241]; neuron differentiation [GO:0030182]; Notch signaling pathway [GO:0007219]; positive regulation of signal transduction [GO:0009967]; regionalization [GO:0003002]; regulation of developmental growth [GO:0048638]; regulation of macromolecule metabolic process [GO:0060255]; regulation of Notch signaling pathway [GO:0008593]; regulation of primary metabolic process [GO:0080090]; regulation of transport [GO:0051049]</v>
      </c>
      <c r="G144" s="3">
        <v>45.127034845301203</v>
      </c>
      <c r="H144" s="3">
        <v>-0.55809618824266205</v>
      </c>
      <c r="I144" s="3">
        <v>0.73336353971794599</v>
      </c>
      <c r="J144" s="2">
        <v>2.9200779879168102E-4</v>
      </c>
      <c r="K144" s="2">
        <v>5.5793909695000803E-2</v>
      </c>
    </row>
    <row r="145" spans="1:11" x14ac:dyDescent="0.25">
      <c r="A145" t="s">
        <v>7</v>
      </c>
      <c r="B145" t="s">
        <v>275</v>
      </c>
      <c r="C145" t="s">
        <v>276</v>
      </c>
      <c r="D145" t="str">
        <f>_xlfn.LET(_xlpm.x,VLOOKUP(C145,[1]!Table1[[#All],[Entry]:[Gene Ontology (GO)]],5,FALSE),IF(C145="NA","NA",IF(_xlpm.x="","NA",_xlpm.x)))</f>
        <v>LOC116304158</v>
      </c>
      <c r="E145" s="4" t="str">
        <f>_xlfn.LET(_xlpm.x,VLOOKUP(C145,[1]!Table1[[#All],[Entry]:[Gene Ontology (GO)]],4,FALSE),IF(C145="NA","NA",IF(_xlpm.x="","NA",_xlpm.x)))</f>
        <v>Gamma-butyrobetaine dioxygenase-like</v>
      </c>
      <c r="F145" s="4" t="str">
        <f>_xlfn.LET(_xlpm.x,VLOOKUP(C145,[1]!Table1[[#All],[Entry]:[Gene Ontology (GO)]],8,FALSE),IF(C145="NA","NA",IF(_xlpm.x="","NA",_xlpm.x)))</f>
        <v>mitochondrion [GO:0005739]; 2-oxoglutarate-dependent dioxygenase activity [GO:0016706]; metal ion binding [GO:0046872]; carnitine biosynthetic process [GO:0045329]</v>
      </c>
      <c r="G145" s="3">
        <v>1030.02188325783</v>
      </c>
      <c r="H145" s="3">
        <v>-0.67487941154369602</v>
      </c>
      <c r="I145" s="3">
        <v>0.48119529818513401</v>
      </c>
      <c r="J145" s="2">
        <v>2.97197754882214E-4</v>
      </c>
      <c r="K145" s="2">
        <v>5.6218281019475902E-2</v>
      </c>
    </row>
    <row r="146" spans="1:11" x14ac:dyDescent="0.25">
      <c r="A146" t="s">
        <v>7</v>
      </c>
      <c r="B146" t="s">
        <v>277</v>
      </c>
      <c r="C146" t="s">
        <v>278</v>
      </c>
      <c r="D146" t="str">
        <f>_xlfn.LET(_xlpm.x,VLOOKUP(C146,[1]!Table1[[#All],[Entry]:[Gene Ontology (GO)]],5,FALSE),IF(C146="NA","NA",IF(_xlpm.x="","NA",_xlpm.x)))</f>
        <v>LOC116291466</v>
      </c>
      <c r="E146" s="4" t="str">
        <f>_xlfn.LET(_xlpm.x,VLOOKUP(C146,[1]!Table1[[#All],[Entry]:[Gene Ontology (GO)]],4,FALSE),IF(C146="NA","NA",IF(_xlpm.x="","NA",_xlpm.x)))</f>
        <v>SPRY domain-containing SOCS box protein 3</v>
      </c>
      <c r="F146" s="4" t="str">
        <f>_xlfn.LET(_xlpm.x,VLOOKUP(C146,[1]!Table1[[#All],[Entry]:[Gene Ontology (GO)]],8,FALSE),IF(C146="NA","NA",IF(_xlpm.x="","NA",_xlpm.x)))</f>
        <v>cytoplasm [GO:0005737]; nucleus [GO:0005634]; SCF ubiquitin ligase complex [GO:0019005]; intracellular signal transduction [GO:0035556]; proteasome-mediated ubiquitin-dependent protein catabolic process [GO:0043161]</v>
      </c>
      <c r="G146" s="3">
        <v>81.095762219428806</v>
      </c>
      <c r="H146" s="3">
        <v>-0.61357436015297495</v>
      </c>
      <c r="I146" s="3">
        <v>0.71506589167357903</v>
      </c>
      <c r="J146" s="2">
        <v>2.9834391347304499E-4</v>
      </c>
      <c r="K146" s="2">
        <v>5.6218281019475902E-2</v>
      </c>
    </row>
    <row r="147" spans="1:11" x14ac:dyDescent="0.25">
      <c r="A147" t="s">
        <v>7</v>
      </c>
      <c r="B147" t="s">
        <v>279</v>
      </c>
      <c r="C147" t="s">
        <v>280</v>
      </c>
      <c r="D147" t="str">
        <f>_xlfn.LET(_xlpm.x,VLOOKUP(C147,[1]!Table1[[#All],[Entry]:[Gene Ontology (GO)]],5,FALSE),IF(C147="NA","NA",IF(_xlpm.x="","NA",_xlpm.x)))</f>
        <v>KTx</v>
      </c>
      <c r="E147" s="4" t="str">
        <f>_xlfn.LET(_xlpm.x,VLOOKUP(C147,[1]!Table1[[#All],[Entry]:[Gene Ontology (GO)]],4,FALSE),IF(C147="NA","NA",IF(_xlpm.x="","NA",_xlpm.x)))</f>
        <v>Type III potassium channel toxin protein</v>
      </c>
      <c r="F147" s="4" t="str">
        <f>_xlfn.LET(_xlpm.x,VLOOKUP(C147,[1]!Table1[[#All],[Entry]:[Gene Ontology (GO)]],8,FALSE),IF(C147="NA","NA",IF(_xlpm.x="","NA",_xlpm.x)))</f>
        <v>extracellular region [GO:0005576]; nematocyst [GO:0042151]; monoatomic ion transmembrane transport [GO:0034220]</v>
      </c>
      <c r="G147" s="3">
        <v>16025.16656023</v>
      </c>
      <c r="H147" s="3">
        <v>0.49200654911666802</v>
      </c>
      <c r="I147" s="3">
        <v>0.31279520833326702</v>
      </c>
      <c r="J147" s="2">
        <v>3.02227576227658E-4</v>
      </c>
      <c r="K147" s="2">
        <v>5.65600278443033E-2</v>
      </c>
    </row>
    <row r="148" spans="1:11" ht="30" x14ac:dyDescent="0.25">
      <c r="A148" t="s">
        <v>7</v>
      </c>
      <c r="B148" t="s">
        <v>281</v>
      </c>
      <c r="C148" t="s">
        <v>110</v>
      </c>
      <c r="D148" t="str">
        <f>_xlfn.LET(_xlpm.x,VLOOKUP(C148,[1]!Table1[[#All],[Entry]:[Gene Ontology (GO)]],5,FALSE),IF(C148="NA","NA",IF(_xlpm.x="","NA",_xlpm.x)))</f>
        <v>LOC116295161</v>
      </c>
      <c r="E148" s="4" t="str">
        <f>_xlfn.LET(_xlpm.x,VLOOKUP(C148,[1]!Table1[[#All],[Entry]:[Gene Ontology (GO)]],4,FALSE),IF(C148="NA","NA",IF(_xlpm.x="","NA",_xlpm.x)))</f>
        <v>Neural retina-specific leucine zipper protein</v>
      </c>
      <c r="F148" s="4" t="str">
        <f>_xlfn.LET(_xlpm.x,VLOOKUP(C148,[1]!Table1[[#All],[Entry]:[Gene Ontology (GO)]],8,FALSE),IF(C148="NA","NA",IF(_xlpm.x="","NA",_xlpm.x)))</f>
        <v>cytoplasm [GO:0005737]; nucleus [GO:0005634]; DNA-binding transcription factor activity, RNA polymerase II-specific [GO:0000981]; RNA polymerase II cis-regulatory region sequence-specific DNA binding [GO:0000978]; positive regulation of transcription by RNA polymerase II [GO:0045944]</v>
      </c>
      <c r="G148" s="3">
        <v>1591.13709008307</v>
      </c>
      <c r="H148" s="3">
        <v>0.69111970697698599</v>
      </c>
      <c r="I148" s="3">
        <v>0.52457243180639401</v>
      </c>
      <c r="J148" s="2">
        <v>3.0510443982678399E-4</v>
      </c>
      <c r="K148" s="2">
        <v>5.6709990540049E-2</v>
      </c>
    </row>
    <row r="149" spans="1:11" x14ac:dyDescent="0.25">
      <c r="A149" t="s">
        <v>7</v>
      </c>
      <c r="B149" t="s">
        <v>282</v>
      </c>
      <c r="C149" t="s">
        <v>283</v>
      </c>
      <c r="D149" t="str">
        <f>_xlfn.LET(_xlpm.x,VLOOKUP(C149,[1]!Table1[[#All],[Entry]:[Gene Ontology (GO)]],5,FALSE),IF(C149="NA","NA",IF(_xlpm.x="","NA",_xlpm.x)))</f>
        <v>LOC116295731</v>
      </c>
      <c r="E149" s="4" t="str">
        <f>_xlfn.LET(_xlpm.x,VLOOKUP(C149,[1]!Table1[[#All],[Entry]:[Gene Ontology (GO)]],4,FALSE),IF(C149="NA","NA",IF(_xlpm.x="","NA",_xlpm.x)))</f>
        <v>Myrosinase 1-like</v>
      </c>
      <c r="F149" s="4" t="str">
        <f>_xlfn.LET(_xlpm.x,VLOOKUP(C149,[1]!Table1[[#All],[Entry]:[Gene Ontology (GO)]],8,FALSE),IF(C149="NA","NA",IF(_xlpm.x="","NA",_xlpm.x)))</f>
        <v>beta-glucosidase activity [GO:0008422]; carbohydrate metabolic process [GO:0005975]</v>
      </c>
      <c r="G149" s="3">
        <v>2082.0960130254398</v>
      </c>
      <c r="H149" s="3">
        <v>0.65823897822218602</v>
      </c>
      <c r="I149" s="3">
        <v>0.47360044284545899</v>
      </c>
      <c r="J149" s="2">
        <v>3.1490384281582598E-4</v>
      </c>
      <c r="K149" s="2">
        <v>5.7745756357428402E-2</v>
      </c>
    </row>
    <row r="150" spans="1:11" ht="30" x14ac:dyDescent="0.25">
      <c r="A150" t="s">
        <v>7</v>
      </c>
      <c r="B150" t="s">
        <v>284</v>
      </c>
      <c r="C150" t="s">
        <v>285</v>
      </c>
      <c r="D150" t="str">
        <f>_xlfn.LET(_xlpm.x,VLOOKUP(C150,[1]!Table1[[#All],[Entry]:[Gene Ontology (GO)]],5,FALSE),IF(C150="NA","NA",IF(_xlpm.x="","NA",_xlpm.x)))</f>
        <v>NA</v>
      </c>
      <c r="E150" s="4" t="str">
        <f>_xlfn.LET(_xlpm.x,VLOOKUP(C150,[1]!Table1[[#All],[Entry]:[Gene Ontology (GO)]],4,FALSE),IF(C150="NA","NA",IF(_xlpm.x="","NA",_xlpm.x)))</f>
        <v>Green fluorescent protein as(S)FP499 (Green fluorescent protein asFP499)</v>
      </c>
      <c r="F150" s="4" t="str">
        <f>_xlfn.LET(_xlpm.x,VLOOKUP(C150,[1]!Table1[[#All],[Entry]:[Gene Ontology (GO)]],8,FALSE),IF(C150="NA","NA",IF(_xlpm.x="","NA",_xlpm.x)))</f>
        <v>bioluminescence [GO:0008218]</v>
      </c>
      <c r="G150" s="3">
        <v>208.187582643144</v>
      </c>
      <c r="H150" s="3">
        <v>-0.656307927578067</v>
      </c>
      <c r="I150" s="3">
        <v>0.67844340066067199</v>
      </c>
      <c r="J150" s="2">
        <v>3.1282294853677601E-4</v>
      </c>
      <c r="K150" s="2">
        <v>5.7745756357428402E-2</v>
      </c>
    </row>
    <row r="151" spans="1:11" x14ac:dyDescent="0.25">
      <c r="A151" t="s">
        <v>7</v>
      </c>
      <c r="B151" t="s">
        <v>286</v>
      </c>
      <c r="C151" t="s">
        <v>287</v>
      </c>
      <c r="D151" t="str">
        <f>_xlfn.LET(_xlpm.x,VLOOKUP(C151,[1]!Table1[[#All],[Entry]:[Gene Ontology (GO)]],5,FALSE),IF(C151="NA","NA",IF(_xlpm.x="","NA",_xlpm.x)))</f>
        <v>LOC116308748</v>
      </c>
      <c r="E151" s="4" t="str">
        <f>_xlfn.LET(_xlpm.x,VLOOKUP(C151,[1]!Table1[[#All],[Entry]:[Gene Ontology (GO)]],4,FALSE),IF(C151="NA","NA",IF(_xlpm.x="","NA",_xlpm.x)))</f>
        <v>Uncharacterized protein LOC116308748</v>
      </c>
      <c r="F151" s="4" t="str">
        <f>_xlfn.LET(_xlpm.x,VLOOKUP(C151,[1]!Table1[[#All],[Entry]:[Gene Ontology (GO)]],8,FALSE),IF(C151="NA","NA",IF(_xlpm.x="","NA",_xlpm.x)))</f>
        <v>NA</v>
      </c>
      <c r="G151" s="3">
        <v>139.88598572681599</v>
      </c>
      <c r="H151" s="3">
        <v>-0.210208335424314</v>
      </c>
      <c r="I151" s="3">
        <v>0.68905563325260799</v>
      </c>
      <c r="J151" s="2">
        <v>3.1795499525514703E-4</v>
      </c>
      <c r="K151" s="2">
        <v>5.79165622357092E-2</v>
      </c>
    </row>
    <row r="152" spans="1:11" x14ac:dyDescent="0.25">
      <c r="A152" t="s">
        <v>7</v>
      </c>
      <c r="B152" t="s">
        <v>288</v>
      </c>
      <c r="C152" t="s">
        <v>289</v>
      </c>
      <c r="D152" t="str">
        <f>_xlfn.LET(_xlpm.x,VLOOKUP(C152,[1]!Table1[[#All],[Entry]:[Gene Ontology (GO)]],5,FALSE),IF(C152="NA","NA",IF(_xlpm.x="","NA",_xlpm.x)))</f>
        <v>LOC116297518</v>
      </c>
      <c r="E152" s="4" t="str">
        <f>_xlfn.LET(_xlpm.x,VLOOKUP(C152,[1]!Table1[[#All],[Entry]:[Gene Ontology (GO)]],4,FALSE),IF(C152="NA","NA",IF(_xlpm.x="","NA",_xlpm.x)))</f>
        <v>Uncharacterized protein LOC116297518</v>
      </c>
      <c r="F152" s="4" t="str">
        <f>_xlfn.LET(_xlpm.x,VLOOKUP(C152,[1]!Table1[[#All],[Entry]:[Gene Ontology (GO)]],8,FALSE),IF(C152="NA","NA",IF(_xlpm.x="","NA",_xlpm.x)))</f>
        <v>NA</v>
      </c>
      <c r="G152" s="3">
        <v>18781.5853248239</v>
      </c>
      <c r="H152" s="3">
        <v>0.547933656434478</v>
      </c>
      <c r="I152" s="3">
        <v>0.36305339037073298</v>
      </c>
      <c r="J152" s="2">
        <v>3.2471938482256602E-4</v>
      </c>
      <c r="K152" s="2">
        <v>5.8757004976867297E-2</v>
      </c>
    </row>
    <row r="153" spans="1:11" x14ac:dyDescent="0.25">
      <c r="A153" t="s">
        <v>7</v>
      </c>
      <c r="B153" t="s">
        <v>290</v>
      </c>
      <c r="C153" t="s">
        <v>291</v>
      </c>
      <c r="D153" t="str">
        <f>_xlfn.LET(_xlpm.x,VLOOKUP(C153,[1]!Table1[[#All],[Entry]:[Gene Ontology (GO)]],5,FALSE),IF(C153="NA","NA",IF(_xlpm.x="","NA",_xlpm.x)))</f>
        <v>LOC116289548</v>
      </c>
      <c r="E153" s="4" t="str">
        <f>_xlfn.LET(_xlpm.x,VLOOKUP(C153,[1]!Table1[[#All],[Entry]:[Gene Ontology (GO)]],4,FALSE),IF(C153="NA","NA",IF(_xlpm.x="","NA",_xlpm.x)))</f>
        <v>Protein lethal(2)essential for life-like</v>
      </c>
      <c r="F153" s="4" t="str">
        <f>_xlfn.LET(_xlpm.x,VLOOKUP(C153,[1]!Table1[[#All],[Entry]:[Gene Ontology (GO)]],8,FALSE),IF(C153="NA","NA",IF(_xlpm.x="","NA",_xlpm.x)))</f>
        <v>cytoplasm [GO:0005737]; nucleus [GO:0005634]; unfolded protein binding [GO:0051082]; protein refolding [GO:0042026]; response to heat [GO:0009408]</v>
      </c>
      <c r="G153" s="3">
        <v>118.110628609749</v>
      </c>
      <c r="H153" s="3">
        <v>0.66744890257634704</v>
      </c>
      <c r="I153" s="3">
        <v>0.64816379951795899</v>
      </c>
      <c r="J153" s="2">
        <v>3.2929696677490701E-4</v>
      </c>
      <c r="K153" s="2">
        <v>5.91932962052025E-2</v>
      </c>
    </row>
    <row r="154" spans="1:11" ht="30" x14ac:dyDescent="0.25">
      <c r="A154" t="s">
        <v>7</v>
      </c>
      <c r="B154" t="s">
        <v>292</v>
      </c>
      <c r="C154" t="s">
        <v>293</v>
      </c>
      <c r="D154" t="str">
        <f>_xlfn.LET(_xlpm.x,VLOOKUP(C154,[1]!Table1[[#All],[Entry]:[Gene Ontology (GO)]],5,FALSE),IF(C154="NA","NA",IF(_xlpm.x="","NA",_xlpm.x)))</f>
        <v>LOC116308500</v>
      </c>
      <c r="E154" s="4" t="str">
        <f>_xlfn.LET(_xlpm.x,VLOOKUP(C154,[1]!Table1[[#All],[Entry]:[Gene Ontology (GO)]],4,FALSE),IF(C154="NA","NA",IF(_xlpm.x="","NA",_xlpm.x)))</f>
        <v>Transporter</v>
      </c>
      <c r="F154" s="4" t="str">
        <f>_xlfn.LET(_xlpm.x,VLOOKUP(C154,[1]!Table1[[#All],[Entry]:[Gene Ontology (GO)]],8,FALSE),IF(C154="NA","NA",IF(_xlpm.x="","NA",_xlpm.x)))</f>
        <v>plasma membrane [GO:0005886]; metal ion binding [GO:0046872]; monoamine transmembrane transporter activity [GO:0008504]; sodium:chloride symporter activity [GO:0015378]; amino acid transport [GO:0006865]; catecholamine uptake [GO:0090493]; neurotransmitter transport [GO:0006836]</v>
      </c>
      <c r="G154" s="3">
        <v>510.610865302082</v>
      </c>
      <c r="H154" s="3">
        <v>0.61686543896872004</v>
      </c>
      <c r="I154" s="3">
        <v>0.43331359033677003</v>
      </c>
      <c r="J154" s="2">
        <v>3.3253075394921701E-4</v>
      </c>
      <c r="K154" s="2">
        <v>5.9383907125192599E-2</v>
      </c>
    </row>
    <row r="155" spans="1:11" x14ac:dyDescent="0.25">
      <c r="A155" t="s">
        <v>7</v>
      </c>
      <c r="B155" t="s">
        <v>294</v>
      </c>
      <c r="C155" t="s">
        <v>295</v>
      </c>
      <c r="D155" t="str">
        <f>_xlfn.LET(_xlpm.x,VLOOKUP(C155,[1]!Table1[[#All],[Entry]:[Gene Ontology (GO)]],5,FALSE),IF(C155="NA","NA",IF(_xlpm.x="","NA",_xlpm.x)))</f>
        <v>NEMVEDRAFT_v1g202038</v>
      </c>
      <c r="E155" s="4" t="str">
        <f>_xlfn.LET(_xlpm.x,VLOOKUP(C155,[1]!Table1[[#All],[Entry]:[Gene Ontology (GO)]],4,FALSE),IF(C155="NA","NA",IF(_xlpm.x="","NA",_xlpm.x)))</f>
        <v>Uncharacterized protein</v>
      </c>
      <c r="F155" s="4" t="str">
        <f>_xlfn.LET(_xlpm.x,VLOOKUP(C155,[1]!Table1[[#All],[Entry]:[Gene Ontology (GO)]],8,FALSE),IF(C155="NA","NA",IF(_xlpm.x="","NA",_xlpm.x)))</f>
        <v>extracellular matrix [GO:0031012]; extracellular matrix organization [GO:0030198]</v>
      </c>
      <c r="G155" s="3">
        <v>33.983242180391798</v>
      </c>
      <c r="H155" s="3">
        <v>0.66209286534915501</v>
      </c>
      <c r="I155" s="3">
        <v>0.64937753047031199</v>
      </c>
      <c r="J155" s="2">
        <v>3.3510598016822202E-4</v>
      </c>
      <c r="K155" s="2">
        <v>5.9455199325560502E-2</v>
      </c>
    </row>
    <row r="156" spans="1:11" ht="30" x14ac:dyDescent="0.25">
      <c r="A156" t="s">
        <v>7</v>
      </c>
      <c r="B156" t="s">
        <v>296</v>
      </c>
      <c r="C156" t="s">
        <v>297</v>
      </c>
      <c r="D156" t="str">
        <f>_xlfn.LET(_xlpm.x,VLOOKUP(C156,[1]!Table1[[#All],[Entry]:[Gene Ontology (GO)]],5,FALSE),IF(C156="NA","NA",IF(_xlpm.x="","NA",_xlpm.x)))</f>
        <v>LOC116302296</v>
      </c>
      <c r="E156" s="4" t="str">
        <f>_xlfn.LET(_xlpm.x,VLOOKUP(C156,[1]!Table1[[#All],[Entry]:[Gene Ontology (GO)]],4,FALSE),IF(C156="NA","NA",IF(_xlpm.x="","NA",_xlpm.x)))</f>
        <v>Sestrin-1-like</v>
      </c>
      <c r="F156" s="4" t="str">
        <f>_xlfn.LET(_xlpm.x,VLOOKUP(C156,[1]!Table1[[#All],[Entry]:[Gene Ontology (GO)]],8,FALSE),IF(C156="NA","NA",IF(_xlpm.x="","NA",_xlpm.x)))</f>
        <v>cytoplasm [GO:0005737]; nucleus [GO:0005634]; L-leucine binding [GO:0070728]; oxidoreductase activity, acting on peroxide as acceptor [GO:0016684]; cellular response to L-leucine [GO:0071233]; cellular response to leucine starvation [GO:1990253]; negative regulation of TORC1 signaling [GO:1904262]; positive regulation of macroautophagy [GO:0016239]; regulation of response to reactive oxygen species [GO:1901031]</v>
      </c>
      <c r="G156" s="3">
        <v>804.60126176414201</v>
      </c>
      <c r="H156" s="3">
        <v>0.495912198520849</v>
      </c>
      <c r="I156" s="3">
        <v>0.330142511636491</v>
      </c>
      <c r="J156" s="2">
        <v>3.4120304909673101E-4</v>
      </c>
      <c r="K156" s="2">
        <v>6.01463929707741E-2</v>
      </c>
    </row>
    <row r="157" spans="1:11" ht="30" x14ac:dyDescent="0.25">
      <c r="A157" t="s">
        <v>7</v>
      </c>
      <c r="B157" t="s">
        <v>298</v>
      </c>
      <c r="C157" t="s">
        <v>299</v>
      </c>
      <c r="D157" t="str">
        <f>_xlfn.LET(_xlpm.x,VLOOKUP(C157,[1]!Table1[[#All],[Entry]:[Gene Ontology (GO)]],5,FALSE),IF(C157="NA","NA",IF(_xlpm.x="","NA",_xlpm.x)))</f>
        <v>LOC116288075</v>
      </c>
      <c r="E157" s="4" t="str">
        <f>_xlfn.LET(_xlpm.x,VLOOKUP(C157,[1]!Table1[[#All],[Entry]:[Gene Ontology (GO)]],4,FALSE),IF(C157="NA","NA",IF(_xlpm.x="","NA",_xlpm.x)))</f>
        <v>Titin-like isoform X3</v>
      </c>
      <c r="F157" s="4" t="str">
        <f>_xlfn.LET(_xlpm.x,VLOOKUP(C157,[1]!Table1[[#All],[Entry]:[Gene Ontology (GO)]],8,FALSE),IF(C157="NA","NA",IF(_xlpm.x="","NA",_xlpm.x)))</f>
        <v>I band [GO:0031674]; M band [GO:0031430]; nucleus [GO:0005634]; ATP binding [GO:0005524]; cytoskeletal protein binding [GO:0008092]; guanyl-nucleotide exchange factor activity [GO:0005085]; protein kinase activity [GO:0004672]; positive regulation of sarcomere organization [GO:0060298]; positive regulation of striated muscle contraction [GO:0045989]; sarcomere organization [GO:0045214]</v>
      </c>
      <c r="G157" s="3">
        <v>451.38312855612702</v>
      </c>
      <c r="H157" s="3">
        <v>-0.49697836415927399</v>
      </c>
      <c r="I157" s="3">
        <v>0.33202681771467801</v>
      </c>
      <c r="J157" s="2">
        <v>3.4420050299816403E-4</v>
      </c>
      <c r="K157" s="2">
        <v>6.0285835534736203E-2</v>
      </c>
    </row>
    <row r="158" spans="1:11" x14ac:dyDescent="0.25">
      <c r="A158" t="s">
        <v>7</v>
      </c>
      <c r="B158" t="s">
        <v>300</v>
      </c>
      <c r="C158" t="s">
        <v>301</v>
      </c>
      <c r="D158" t="str">
        <f>_xlfn.LET(_xlpm.x,VLOOKUP(C158,[1]!Table1[[#All],[Entry]:[Gene Ontology (GO)]],5,FALSE),IF(C158="NA","NA",IF(_xlpm.x="","NA",_xlpm.x)))</f>
        <v>LOC116297843</v>
      </c>
      <c r="E158" s="4" t="str">
        <f>_xlfn.LET(_xlpm.x,VLOOKUP(C158,[1]!Table1[[#All],[Entry]:[Gene Ontology (GO)]],4,FALSE),IF(C158="NA","NA",IF(_xlpm.x="","NA",_xlpm.x)))</f>
        <v>Rhophilin-2-B-like</v>
      </c>
      <c r="F158" s="4" t="str">
        <f>_xlfn.LET(_xlpm.x,VLOOKUP(C158,[1]!Table1[[#All],[Entry]:[Gene Ontology (GO)]],8,FALSE),IF(C158="NA","NA",IF(_xlpm.x="","NA",_xlpm.x)))</f>
        <v>negative regulation of stress fiber assembly [GO:0051497]; signal transduction [GO:0007165]</v>
      </c>
      <c r="G158" s="3">
        <v>1022.62564098761</v>
      </c>
      <c r="H158" s="3">
        <v>-0.52255566155713395</v>
      </c>
      <c r="I158" s="3">
        <v>0.35368664347532303</v>
      </c>
      <c r="J158" s="2">
        <v>3.4999680667951397E-4</v>
      </c>
      <c r="K158" s="2">
        <v>6.0910590757352598E-2</v>
      </c>
    </row>
    <row r="159" spans="1:11" x14ac:dyDescent="0.25">
      <c r="A159" t="s">
        <v>7</v>
      </c>
      <c r="B159" t="s">
        <v>302</v>
      </c>
      <c r="C159" t="s">
        <v>303</v>
      </c>
      <c r="D159" t="str">
        <f>_xlfn.LET(_xlpm.x,VLOOKUP(C159,[1]!Table1[[#All],[Entry]:[Gene Ontology (GO)]],5,FALSE),IF(C159="NA","NA",IF(_xlpm.x="","NA",_xlpm.x)))</f>
        <v>PACLA_8A078053</v>
      </c>
      <c r="E159" s="4" t="str">
        <f>_xlfn.LET(_xlpm.x,VLOOKUP(C159,[1]!Table1[[#All],[Entry]:[Gene Ontology (GO)]],4,FALSE),IF(C159="NA","NA",IF(_xlpm.x="","NA",_xlpm.x)))</f>
        <v>Transport Sec24C, partial</v>
      </c>
      <c r="F159" s="4" t="str">
        <f>_xlfn.LET(_xlpm.x,VLOOKUP(C159,[1]!Table1[[#All],[Entry]:[Gene Ontology (GO)]],8,FALSE),IF(C159="NA","NA",IF(_xlpm.x="","NA",_xlpm.x)))</f>
        <v>COPII vesicle coat [GO:0030127]; endoplasmic reticulum exit site [GO:0070971]; SNARE binding [GO:0000149]; zinc ion binding [GO:0008270]; COPII-coated vesicle cargo loading [GO:0090110]; intracellular protein transport [GO:0006886]</v>
      </c>
      <c r="G159" s="3">
        <v>46.792533597814298</v>
      </c>
      <c r="H159" s="3">
        <v>-0.66994761534079506</v>
      </c>
      <c r="I159" s="3">
        <v>0.57669564404261497</v>
      </c>
      <c r="J159" s="2">
        <v>3.5353031993305001E-4</v>
      </c>
      <c r="K159" s="2">
        <v>6.1078377922118503E-2</v>
      </c>
    </row>
    <row r="160" spans="1:11" x14ac:dyDescent="0.25">
      <c r="A160" t="s">
        <v>7</v>
      </c>
      <c r="B160" t="s">
        <v>304</v>
      </c>
      <c r="C160" t="s">
        <v>305</v>
      </c>
      <c r="D160" t="str">
        <f>_xlfn.LET(_xlpm.x,VLOOKUP(C160,[1]!Table1[[#All],[Entry]:[Gene Ontology (GO)]],5,FALSE),IF(C160="NA","NA",IF(_xlpm.x="","NA",_xlpm.x)))</f>
        <v>LOC116295342</v>
      </c>
      <c r="E160" s="4" t="str">
        <f>_xlfn.LET(_xlpm.x,VLOOKUP(C160,[1]!Table1[[#All],[Entry]:[Gene Ontology (GO)]],4,FALSE),IF(C160="NA","NA",IF(_xlpm.x="","NA",_xlpm.x)))</f>
        <v>Fibrinogen-like protein A</v>
      </c>
      <c r="F160" s="4" t="str">
        <f>_xlfn.LET(_xlpm.x,VLOOKUP(C160,[1]!Table1[[#All],[Entry]:[Gene Ontology (GO)]],8,FALSE),IF(C160="NA","NA",IF(_xlpm.x="","NA",_xlpm.x)))</f>
        <v>extracellular space [GO:0005615]</v>
      </c>
      <c r="G160" s="3">
        <v>23.5542540981569</v>
      </c>
      <c r="H160" s="3">
        <v>-0.64409421371507003</v>
      </c>
      <c r="I160" s="3">
        <v>0.65251338408673898</v>
      </c>
      <c r="J160" s="2">
        <v>3.5543176406751999E-4</v>
      </c>
      <c r="K160" s="2">
        <v>6.1078377922118503E-2</v>
      </c>
    </row>
    <row r="161" spans="1:11" x14ac:dyDescent="0.25">
      <c r="A161" t="s">
        <v>7</v>
      </c>
      <c r="B161" t="s">
        <v>306</v>
      </c>
      <c r="C161" t="s">
        <v>194</v>
      </c>
      <c r="D161" t="str">
        <f>_xlfn.LET(_xlpm.x,VLOOKUP(C161,[1]!Table1[[#All],[Entry]:[Gene Ontology (GO)]],5,FALSE),IF(C161="NA","NA",IF(_xlpm.x="","NA",_xlpm.x)))</f>
        <v>LOC116305302</v>
      </c>
      <c r="E161" s="4" t="str">
        <f>_xlfn.LET(_xlpm.x,VLOOKUP(C161,[1]!Table1[[#All],[Entry]:[Gene Ontology (GO)]],4,FALSE),IF(C161="NA","NA",IF(_xlpm.x="","NA",_xlpm.x)))</f>
        <v>Frizzled-9-like</v>
      </c>
      <c r="F161" s="4" t="str">
        <f>_xlfn.LET(_xlpm.x,VLOOKUP(C161,[1]!Table1[[#All],[Entry]:[Gene Ontology (GO)]],8,FALSE),IF(C161="NA","NA",IF(_xlpm.x="","NA",_xlpm.x)))</f>
        <v>extracellular space [GO:0005615]; plasma membrane [GO:0005886]; G protein-coupled receptor activity [GO:0004930]; Wnt-protein binding [GO:0017147]; canonical Wnt signaling pathway [GO:0060070]; non-canonical Wnt signaling pathway [GO:0035567]</v>
      </c>
      <c r="G161" s="3">
        <v>51.8089889282247</v>
      </c>
      <c r="H161" s="3">
        <v>0.64789256233713</v>
      </c>
      <c r="I161" s="3">
        <v>0.64105551567124497</v>
      </c>
      <c r="J161" s="2">
        <v>3.6104833634904003E-4</v>
      </c>
      <c r="K161" s="2">
        <v>6.1655773087905201E-2</v>
      </c>
    </row>
    <row r="162" spans="1:11" x14ac:dyDescent="0.25">
      <c r="A162" t="s">
        <v>7</v>
      </c>
      <c r="B162" t="s">
        <v>307</v>
      </c>
      <c r="C162" t="s">
        <v>154</v>
      </c>
      <c r="D162" t="str">
        <f>_xlfn.LET(_xlpm.x,VLOOKUP(C162,[1]!Table1[[#All],[Entry]:[Gene Ontology (GO)]],5,FALSE),IF(C162="NA","NA",IF(_xlpm.x="","NA",_xlpm.x)))</f>
        <v>LOC116304503</v>
      </c>
      <c r="E162" s="4" t="str">
        <f>_xlfn.LET(_xlpm.x,VLOOKUP(C162,[1]!Table1[[#All],[Entry]:[Gene Ontology (GO)]],4,FALSE),IF(C162="NA","NA",IF(_xlpm.x="","NA",_xlpm.x)))</f>
        <v>Uncharacterized protein LOC116304503</v>
      </c>
      <c r="F162" s="4" t="str">
        <f>_xlfn.LET(_xlpm.x,VLOOKUP(C162,[1]!Table1[[#All],[Entry]:[Gene Ontology (GO)]],8,FALSE),IF(C162="NA","NA",IF(_xlpm.x="","NA",_xlpm.x)))</f>
        <v>NA</v>
      </c>
      <c r="G162" s="3">
        <v>40.248581513891303</v>
      </c>
      <c r="H162" s="3">
        <v>0.61612754046498996</v>
      </c>
      <c r="I162" s="3">
        <v>0.66208198222854497</v>
      </c>
      <c r="J162" s="2">
        <v>3.80164107373008E-4</v>
      </c>
      <c r="K162" s="2">
        <v>6.3878777947399296E-2</v>
      </c>
    </row>
    <row r="163" spans="1:11" ht="30" x14ac:dyDescent="0.25">
      <c r="A163" t="s">
        <v>7</v>
      </c>
      <c r="B163" t="s">
        <v>308</v>
      </c>
      <c r="C163" t="s">
        <v>309</v>
      </c>
      <c r="D163" t="str">
        <f>_xlfn.LET(_xlpm.x,VLOOKUP(C163,[1]!Table1[[#All],[Entry]:[Gene Ontology (GO)]],5,FALSE),IF(C163="NA","NA",IF(_xlpm.x="","NA",_xlpm.x)))</f>
        <v>LOC116307079</v>
      </c>
      <c r="E163" s="4" t="str">
        <f>_xlfn.LET(_xlpm.x,VLOOKUP(C163,[1]!Table1[[#All],[Entry]:[Gene Ontology (GO)]],4,FALSE),IF(C163="NA","NA",IF(_xlpm.x="","NA",_xlpm.x)))</f>
        <v>Ectonucleoside triphosphate diphosphohydrolase 1-like</v>
      </c>
      <c r="F163" s="4" t="str">
        <f>_xlfn.LET(_xlpm.x,VLOOKUP(C163,[1]!Table1[[#All],[Entry]:[Gene Ontology (GO)]],8,FALSE),IF(C163="NA","NA",IF(_xlpm.x="","NA",_xlpm.x)))</f>
        <v>membrane [GO:0016020]; ATP binding [GO:0005524]; GDP phosphatase activity [GO:0004382]; ribonucleoside triphosphate phosphatase activity [GO:0017111]; UDP phosphatase activity [GO:0045134]; nucleoside diphosphate catabolic process [GO:0009134]</v>
      </c>
      <c r="G163" s="3">
        <v>122.130549708578</v>
      </c>
      <c r="H163" s="3">
        <v>0.606730143262602</v>
      </c>
      <c r="I163" s="3">
        <v>0.45444870813254601</v>
      </c>
      <c r="J163" s="2">
        <v>3.8107970594100502E-4</v>
      </c>
      <c r="K163" s="2">
        <v>6.3878777947399296E-2</v>
      </c>
    </row>
    <row r="164" spans="1:11" ht="30" x14ac:dyDescent="0.25">
      <c r="A164" t="s">
        <v>7</v>
      </c>
      <c r="B164" t="s">
        <v>310</v>
      </c>
      <c r="C164" t="s">
        <v>311</v>
      </c>
      <c r="D164" t="str">
        <f>_xlfn.LET(_xlpm.x,VLOOKUP(C164,[1]!Table1[[#All],[Entry]:[Gene Ontology (GO)]],5,FALSE),IF(C164="NA","NA",IF(_xlpm.x="","NA",_xlpm.x)))</f>
        <v>LOC116292428</v>
      </c>
      <c r="E164" s="4" t="str">
        <f>_xlfn.LET(_xlpm.x,VLOOKUP(C164,[1]!Table1[[#All],[Entry]:[Gene Ontology (GO)]],4,FALSE),IF(C164="NA","NA",IF(_xlpm.x="","NA",_xlpm.x)))</f>
        <v>Pre-rRNA-processing protein TSR1 homolog</v>
      </c>
      <c r="F164" s="4" t="str">
        <f>_xlfn.LET(_xlpm.x,VLOOKUP(C164,[1]!Table1[[#All],[Entry]:[Gene Ontology (GO)]],8,FALSE),IF(C164="NA","NA",IF(_xlpm.x="","NA",_xlpm.x)))</f>
        <v>nucleolus [GO:0005730]; preribosome, small subunit precursor [GO:0030688]; GTP binding [GO:0005525]; GTPase activity [GO:0003924]; U3 snoRNA binding [GO:0034511]; endonucleolytic cleavage of tricistronic rRNA transcript (SSU-rRNA, 5.8S rRNA, LSU-rRNA) [GO:0000479]; maturation of SSU-rRNA from tricistronic rRNA transcript (SSU-rRNA, 5.8S rRNA, LSU-rRNA) [GO:0000462]</v>
      </c>
      <c r="G164" s="3">
        <v>491.40776419926198</v>
      </c>
      <c r="H164" s="3">
        <v>0.49018094864489697</v>
      </c>
      <c r="I164" s="3">
        <v>0.33938377641106998</v>
      </c>
      <c r="J164" s="2">
        <v>3.7861554415752899E-4</v>
      </c>
      <c r="K164" s="2">
        <v>6.3878777947399296E-2</v>
      </c>
    </row>
    <row r="165" spans="1:11" x14ac:dyDescent="0.25">
      <c r="A165" t="s">
        <v>7</v>
      </c>
      <c r="B165" t="s">
        <v>312</v>
      </c>
      <c r="C165" t="s">
        <v>313</v>
      </c>
      <c r="D165" t="str">
        <f>_xlfn.LET(_xlpm.x,VLOOKUP(C165,[1]!Table1[[#All],[Entry]:[Gene Ontology (GO)]],5,FALSE),IF(C165="NA","NA",IF(_xlpm.x="","NA",_xlpm.x)))</f>
        <v>LOC116304267</v>
      </c>
      <c r="E165" s="4" t="str">
        <f>_xlfn.LET(_xlpm.x,VLOOKUP(C165,[1]!Table1[[#All],[Entry]:[Gene Ontology (GO)]],4,FALSE),IF(C165="NA","NA",IF(_xlpm.x="","NA",_xlpm.x)))</f>
        <v>Uncharacterized protein LOC116304267</v>
      </c>
      <c r="F165" s="4" t="str">
        <f>_xlfn.LET(_xlpm.x,VLOOKUP(C165,[1]!Table1[[#All],[Entry]:[Gene Ontology (GO)]],8,FALSE),IF(C165="NA","NA",IF(_xlpm.x="","NA",_xlpm.x)))</f>
        <v>NA</v>
      </c>
      <c r="G165" s="3">
        <v>3341.40937890847</v>
      </c>
      <c r="H165" s="3">
        <v>0.64784105857940799</v>
      </c>
      <c r="I165" s="3">
        <v>0.58663426616509595</v>
      </c>
      <c r="J165" s="2">
        <v>3.8924805614610998E-4</v>
      </c>
      <c r="K165" s="2">
        <v>6.4333857914670597E-2</v>
      </c>
    </row>
    <row r="166" spans="1:11" x14ac:dyDescent="0.25">
      <c r="A166" t="s">
        <v>7</v>
      </c>
      <c r="B166" t="s">
        <v>314</v>
      </c>
      <c r="C166" t="s">
        <v>315</v>
      </c>
      <c r="D166" t="str">
        <f>_xlfn.LET(_xlpm.x,VLOOKUP(C166,[1]!Table1[[#All],[Entry]:[Gene Ontology (GO)]],5,FALSE),IF(C166="NA","NA",IF(_xlpm.x="","NA",_xlpm.x)))</f>
        <v>NA</v>
      </c>
      <c r="E166" s="4" t="str">
        <f>_xlfn.LET(_xlpm.x,VLOOKUP(C166,[1]!Table1[[#All],[Entry]:[Gene Ontology (GO)]],4,FALSE),IF(C166="NA","NA",IF(_xlpm.x="","NA",_xlpm.x)))</f>
        <v>Uncharacterized protein</v>
      </c>
      <c r="F166" s="4" t="str">
        <f>_xlfn.LET(_xlpm.x,VLOOKUP(C166,[1]!Table1[[#All],[Entry]:[Gene Ontology (GO)]],8,FALSE),IF(C166="NA","NA",IF(_xlpm.x="","NA",_xlpm.x)))</f>
        <v>NA</v>
      </c>
      <c r="G166" s="3">
        <v>150.80579634723301</v>
      </c>
      <c r="H166" s="3">
        <v>-0.525882418588562</v>
      </c>
      <c r="I166" s="3">
        <v>0.37222819440225002</v>
      </c>
      <c r="J166" s="2">
        <v>3.8862864700300398E-4</v>
      </c>
      <c r="K166" s="2">
        <v>6.4333857914670597E-2</v>
      </c>
    </row>
    <row r="167" spans="1:11" ht="30" x14ac:dyDescent="0.25">
      <c r="A167" t="s">
        <v>7</v>
      </c>
      <c r="B167" t="s">
        <v>316</v>
      </c>
      <c r="C167" t="s">
        <v>317</v>
      </c>
      <c r="D167" t="str">
        <f>_xlfn.LET(_xlpm.x,VLOOKUP(C167,[1]!Table1[[#All],[Entry]:[Gene Ontology (GO)]],5,FALSE),IF(C167="NA","NA",IF(_xlpm.x="","NA",_xlpm.x)))</f>
        <v>LOC116287602</v>
      </c>
      <c r="E167" s="4" t="str">
        <f>_xlfn.LET(_xlpm.x,VLOOKUP(C167,[1]!Table1[[#All],[Entry]:[Gene Ontology (GO)]],4,FALSE),IF(C167="NA","NA",IF(_xlpm.x="","NA",_xlpm.x)))</f>
        <v>GFP-like non-fluorescent chromoprotein FP595</v>
      </c>
      <c r="F167" s="4" t="str">
        <f>_xlfn.LET(_xlpm.x,VLOOKUP(C167,[1]!Table1[[#All],[Entry]:[Gene Ontology (GO)]],8,FALSE),IF(C167="NA","NA",IF(_xlpm.x="","NA",_xlpm.x)))</f>
        <v>bioluminescence [GO:0008218]</v>
      </c>
      <c r="G167" s="3">
        <v>2777.6887906934198</v>
      </c>
      <c r="H167" s="3">
        <v>0.237299341319166</v>
      </c>
      <c r="I167" s="3">
        <v>0.65080675064950499</v>
      </c>
      <c r="J167" s="2">
        <v>3.9085826643616502E-4</v>
      </c>
      <c r="K167" s="2">
        <v>6.4333857914670597E-2</v>
      </c>
    </row>
    <row r="168" spans="1:11" x14ac:dyDescent="0.25">
      <c r="A168" t="s">
        <v>7</v>
      </c>
      <c r="B168" t="s">
        <v>318</v>
      </c>
      <c r="C168" t="s">
        <v>319</v>
      </c>
      <c r="D168" t="str">
        <f>_xlfn.LET(_xlpm.x,VLOOKUP(C168,[1]!Table1[[#All],[Entry]:[Gene Ontology (GO)]],5,FALSE),IF(C168="NA","NA",IF(_xlpm.x="","NA",_xlpm.x)))</f>
        <v>LOC116299675</v>
      </c>
      <c r="E168" s="4" t="str">
        <f>_xlfn.LET(_xlpm.x,VLOOKUP(C168,[1]!Table1[[#All],[Entry]:[Gene Ontology (GO)]],4,FALSE),IF(C168="NA","NA",IF(_xlpm.x="","NA",_xlpm.x)))</f>
        <v>Collagen alpha-1(XV) chain-like</v>
      </c>
      <c r="F168" s="4" t="str">
        <f>_xlfn.LET(_xlpm.x,VLOOKUP(C168,[1]!Table1[[#All],[Entry]:[Gene Ontology (GO)]],8,FALSE),IF(C168="NA","NA",IF(_xlpm.x="","NA",_xlpm.x)))</f>
        <v>carbohydrate binding [GO:0030246]</v>
      </c>
      <c r="G168" s="3">
        <v>161.04425194699499</v>
      </c>
      <c r="H168" s="3">
        <v>0.63546923054609095</v>
      </c>
      <c r="I168" s="3">
        <v>0.53663044082927902</v>
      </c>
      <c r="J168" s="2">
        <v>4.0390901247815998E-4</v>
      </c>
      <c r="K168" s="2">
        <v>6.5969081275010596E-2</v>
      </c>
    </row>
    <row r="169" spans="1:11" ht="30" x14ac:dyDescent="0.25">
      <c r="A169" t="s">
        <v>7</v>
      </c>
      <c r="B169" t="s">
        <v>320</v>
      </c>
      <c r="C169" t="s">
        <v>321</v>
      </c>
      <c r="D169" t="str">
        <f>_xlfn.LET(_xlpm.x,VLOOKUP(C169,[1]!Table1[[#All],[Entry]:[Gene Ontology (GO)]],5,FALSE),IF(C169="NA","NA",IF(_xlpm.x="","NA",_xlpm.x)))</f>
        <v>LOC116290855</v>
      </c>
      <c r="E169" s="4" t="str">
        <f>_xlfn.LET(_xlpm.x,VLOOKUP(C169,[1]!Table1[[#All],[Entry]:[Gene Ontology (GO)]],4,FALSE),IF(C169="NA","NA",IF(_xlpm.x="","NA",_xlpm.x)))</f>
        <v>Uncharacterized protein LOC116290855 isoform X2</v>
      </c>
      <c r="F169" s="4" t="str">
        <f>_xlfn.LET(_xlpm.x,VLOOKUP(C169,[1]!Table1[[#All],[Entry]:[Gene Ontology (GO)]],8,FALSE),IF(C169="NA","NA",IF(_xlpm.x="","NA",_xlpm.x)))</f>
        <v>metal ion binding [GO:0046872]</v>
      </c>
      <c r="G169" s="3">
        <v>1146.7228553008199</v>
      </c>
      <c r="H169" s="3">
        <v>0.61846595046369501</v>
      </c>
      <c r="I169" s="3">
        <v>0.49393445598032698</v>
      </c>
      <c r="J169" s="2">
        <v>4.0562184438757798E-4</v>
      </c>
      <c r="K169" s="2">
        <v>6.5969081275010596E-2</v>
      </c>
    </row>
    <row r="170" spans="1:11" x14ac:dyDescent="0.25">
      <c r="A170" t="s">
        <v>7</v>
      </c>
      <c r="B170" t="s">
        <v>322</v>
      </c>
      <c r="C170" t="s">
        <v>83</v>
      </c>
      <c r="D170" t="str">
        <f>_xlfn.LET(_xlpm.x,VLOOKUP(C170,[1]!Table1[[#All],[Entry]:[Gene Ontology (GO)]],5,FALSE),IF(C170="NA","NA",IF(_xlpm.x="","NA",_xlpm.x)))</f>
        <v>NA</v>
      </c>
      <c r="E170" s="4" t="str">
        <f>_xlfn.LET(_xlpm.x,VLOOKUP(C170,[1]!Table1[[#All],[Entry]:[Gene Ontology (GO)]],4,FALSE),IF(C170="NA","NA",IF(_xlpm.x="","NA",_xlpm.x)))</f>
        <v>NA</v>
      </c>
      <c r="F170" s="4" t="str">
        <f>_xlfn.LET(_xlpm.x,VLOOKUP(C170,[1]!Table1[[#All],[Entry]:[Gene Ontology (GO)]],8,FALSE),IF(C170="NA","NA",IF(_xlpm.x="","NA",_xlpm.x)))</f>
        <v>NA</v>
      </c>
      <c r="G170" s="3">
        <v>238.330513447698</v>
      </c>
      <c r="H170" s="3">
        <v>0.59943603510499399</v>
      </c>
      <c r="I170" s="3">
        <v>0.47070980601201901</v>
      </c>
      <c r="J170" s="2">
        <v>4.1780476683393801E-4</v>
      </c>
      <c r="K170" s="2">
        <v>6.7494911081769096E-2</v>
      </c>
    </row>
    <row r="171" spans="1:11" x14ac:dyDescent="0.25">
      <c r="A171" t="s">
        <v>7</v>
      </c>
      <c r="B171" t="s">
        <v>323</v>
      </c>
      <c r="C171" t="s">
        <v>324</v>
      </c>
      <c r="D171" t="str">
        <f>_xlfn.LET(_xlpm.x,VLOOKUP(C171,[1]!Table1[[#All],[Entry]:[Gene Ontology (GO)]],5,FALSE),IF(C171="NA","NA",IF(_xlpm.x="","NA",_xlpm.x)))</f>
        <v>LOC116297289</v>
      </c>
      <c r="E171" s="4" t="str">
        <f>_xlfn.LET(_xlpm.x,VLOOKUP(C171,[1]!Table1[[#All],[Entry]:[Gene Ontology (GO)]],4,FALSE),IF(C171="NA","NA",IF(_xlpm.x="","NA",_xlpm.x)))</f>
        <v>Uncharacterized protein LOC116297289</v>
      </c>
      <c r="F171" s="4" t="str">
        <f>_xlfn.LET(_xlpm.x,VLOOKUP(C171,[1]!Table1[[#All],[Entry]:[Gene Ontology (GO)]],8,FALSE),IF(C171="NA","NA",IF(_xlpm.x="","NA",_xlpm.x)))</f>
        <v>membrane [GO:0016020]</v>
      </c>
      <c r="G171" s="3">
        <v>545.054491795373</v>
      </c>
      <c r="H171" s="3">
        <v>-0.47171803623332498</v>
      </c>
      <c r="I171" s="3">
        <v>0.33893738689855502</v>
      </c>
      <c r="J171" s="2">
        <v>4.1994418196760098E-4</v>
      </c>
      <c r="K171" s="2">
        <v>6.7494911081769096E-2</v>
      </c>
    </row>
    <row r="172" spans="1:11" x14ac:dyDescent="0.25">
      <c r="A172" t="s">
        <v>7</v>
      </c>
      <c r="B172" t="s">
        <v>325</v>
      </c>
      <c r="C172" t="s">
        <v>326</v>
      </c>
      <c r="D172" t="str">
        <f>_xlfn.LET(_xlpm.x,VLOOKUP(C172,[1]!Table1[[#All],[Entry]:[Gene Ontology (GO)]],5,FALSE),IF(C172="NA","NA",IF(_xlpm.x="","NA",_xlpm.x)))</f>
        <v>LOC116290334</v>
      </c>
      <c r="E172" s="4" t="str">
        <f>_xlfn.LET(_xlpm.x,VLOOKUP(C172,[1]!Table1[[#All],[Entry]:[Gene Ontology (GO)]],4,FALSE),IF(C172="NA","NA",IF(_xlpm.x="","NA",_xlpm.x)))</f>
        <v>Uncharacterized protein LOC116290334</v>
      </c>
      <c r="F172" s="4" t="str">
        <f>_xlfn.LET(_xlpm.x,VLOOKUP(C172,[1]!Table1[[#All],[Entry]:[Gene Ontology (GO)]],8,FALSE),IF(C172="NA","NA",IF(_xlpm.x="","NA",_xlpm.x)))</f>
        <v>nucleus [GO:0005634]; damaged DNA binding [GO:0003684]; base-excision repair [GO:0006284]; single strand break repair [GO:0000012]</v>
      </c>
      <c r="G172" s="3">
        <v>807.90028637960495</v>
      </c>
      <c r="H172" s="3">
        <v>0.62558464905966105</v>
      </c>
      <c r="I172" s="3">
        <v>0.55356113411838603</v>
      </c>
      <c r="J172" s="2">
        <v>4.29135604971845E-4</v>
      </c>
      <c r="K172" s="2">
        <v>6.8568842892665099E-2</v>
      </c>
    </row>
    <row r="173" spans="1:11" x14ac:dyDescent="0.25">
      <c r="A173" t="s">
        <v>7</v>
      </c>
      <c r="B173" t="s">
        <v>327</v>
      </c>
      <c r="C173" t="s">
        <v>55</v>
      </c>
      <c r="D173" t="str">
        <f>_xlfn.LET(_xlpm.x,VLOOKUP(C173,[1]!Table1[[#All],[Entry]:[Gene Ontology (GO)]],5,FALSE),IF(C173="NA","NA",IF(_xlpm.x="","NA",_xlpm.x)))</f>
        <v>LOC116303300</v>
      </c>
      <c r="E173" s="4" t="str">
        <f>_xlfn.LET(_xlpm.x,VLOOKUP(C173,[1]!Table1[[#All],[Entry]:[Gene Ontology (GO)]],4,FALSE),IF(C173="NA","NA",IF(_xlpm.x="","NA",_xlpm.x)))</f>
        <v>Uncharacterized protein LOC116303300</v>
      </c>
      <c r="F173" s="4" t="str">
        <f>_xlfn.LET(_xlpm.x,VLOOKUP(C173,[1]!Table1[[#All],[Entry]:[Gene Ontology (GO)]],8,FALSE),IF(C173="NA","NA",IF(_xlpm.x="","NA",_xlpm.x)))</f>
        <v>NA</v>
      </c>
      <c r="G173" s="3">
        <v>307.47663839753199</v>
      </c>
      <c r="H173" s="3">
        <v>-0.320002078837406</v>
      </c>
      <c r="I173" s="3">
        <v>0.65810795480513795</v>
      </c>
      <c r="J173" s="2">
        <v>4.5024463273706699E-4</v>
      </c>
      <c r="K173" s="2">
        <v>7.1523454071365594E-2</v>
      </c>
    </row>
    <row r="174" spans="1:11" x14ac:dyDescent="0.25">
      <c r="A174" t="s">
        <v>7</v>
      </c>
      <c r="B174" t="s">
        <v>328</v>
      </c>
      <c r="C174" t="s">
        <v>329</v>
      </c>
      <c r="D174" t="str">
        <f>_xlfn.LET(_xlpm.x,VLOOKUP(C174,[1]!Table1[[#All],[Entry]:[Gene Ontology (GO)]],5,FALSE),IF(C174="NA","NA",IF(_xlpm.x="","NA",_xlpm.x)))</f>
        <v>LOC116307236</v>
      </c>
      <c r="E174" s="4" t="str">
        <f>_xlfn.LET(_xlpm.x,VLOOKUP(C174,[1]!Table1[[#All],[Entry]:[Gene Ontology (GO)]],4,FALSE),IF(C174="NA","NA",IF(_xlpm.x="","NA",_xlpm.x)))</f>
        <v>Uncharacterized protein LOC116307236</v>
      </c>
      <c r="F174" s="4" t="str">
        <f>_xlfn.LET(_xlpm.x,VLOOKUP(C174,[1]!Table1[[#All],[Entry]:[Gene Ontology (GO)]],8,FALSE),IF(C174="NA","NA",IF(_xlpm.x="","NA",_xlpm.x)))</f>
        <v>cytoplasm [GO:0005737]; D-amino-acid oxidase activity [GO:0003884]; FAD binding [GO:0071949]; D-amino acid catabolic process [GO:0019478]</v>
      </c>
      <c r="G174" s="3">
        <v>398.25933339262201</v>
      </c>
      <c r="H174" s="3">
        <v>0.49413283559655302</v>
      </c>
      <c r="I174" s="3">
        <v>0.36892759890662602</v>
      </c>
      <c r="J174" s="2">
        <v>4.5437003241246399E-4</v>
      </c>
      <c r="K174" s="2">
        <v>7.1761574541073694E-2</v>
      </c>
    </row>
    <row r="175" spans="1:11" x14ac:dyDescent="0.25">
      <c r="A175" t="s">
        <v>7</v>
      </c>
      <c r="B175" t="s">
        <v>330</v>
      </c>
      <c r="C175" t="s">
        <v>331</v>
      </c>
      <c r="D175" t="str">
        <f>_xlfn.LET(_xlpm.x,VLOOKUP(C175,[1]!Table1[[#All],[Entry]:[Gene Ontology (GO)]],5,FALSE),IF(C175="NA","NA",IF(_xlpm.x="","NA",_xlpm.x)))</f>
        <v>LOC116291103</v>
      </c>
      <c r="E175" s="4" t="str">
        <f>_xlfn.LET(_xlpm.x,VLOOKUP(C175,[1]!Table1[[#All],[Entry]:[Gene Ontology (GO)]],4,FALSE),IF(C175="NA","NA",IF(_xlpm.x="","NA",_xlpm.x)))</f>
        <v>Basic proline-rich protein-like</v>
      </c>
      <c r="F175" s="4" t="str">
        <f>_xlfn.LET(_xlpm.x,VLOOKUP(C175,[1]!Table1[[#All],[Entry]:[Gene Ontology (GO)]],8,FALSE),IF(C175="NA","NA",IF(_xlpm.x="","NA",_xlpm.x)))</f>
        <v>toxin activity [GO:0090729]</v>
      </c>
      <c r="G175" s="3">
        <v>473.34533183292001</v>
      </c>
      <c r="H175" s="3">
        <v>0.60135627456804697</v>
      </c>
      <c r="I175" s="3">
        <v>0.55060883676175598</v>
      </c>
      <c r="J175" s="2">
        <v>4.7900759063985499E-4</v>
      </c>
      <c r="K175" s="2">
        <v>7.5217956316395093E-2</v>
      </c>
    </row>
    <row r="176" spans="1:11" x14ac:dyDescent="0.25">
      <c r="A176" t="s">
        <v>7</v>
      </c>
      <c r="B176" t="s">
        <v>332</v>
      </c>
      <c r="C176" t="s">
        <v>333</v>
      </c>
      <c r="D176" t="str">
        <f>_xlfn.LET(_xlpm.x,VLOOKUP(C176,[1]!Table1[[#All],[Entry]:[Gene Ontology (GO)]],5,FALSE),IF(C176="NA","NA",IF(_xlpm.x="","NA",_xlpm.x)))</f>
        <v>LOC116287790</v>
      </c>
      <c r="E176" s="4" t="str">
        <f>_xlfn.LET(_xlpm.x,VLOOKUP(C176,[1]!Table1[[#All],[Entry]:[Gene Ontology (GO)]],4,FALSE),IF(C176="NA","NA",IF(_xlpm.x="","NA",_xlpm.x)))</f>
        <v>Uncharacterized protein LOC116287790</v>
      </c>
      <c r="F176" s="4" t="str">
        <f>_xlfn.LET(_xlpm.x,VLOOKUP(C176,[1]!Table1[[#All],[Entry]:[Gene Ontology (GO)]],8,FALSE),IF(C176="NA","NA",IF(_xlpm.x="","NA",_xlpm.x)))</f>
        <v>lipid metabolic process [GO:0006629]</v>
      </c>
      <c r="G176" s="3">
        <v>94.163049205273694</v>
      </c>
      <c r="H176" s="3">
        <v>-0.59131042208887596</v>
      </c>
      <c r="I176" s="3">
        <v>0.59533869354374003</v>
      </c>
      <c r="J176" s="2">
        <v>4.9228402021351798E-4</v>
      </c>
      <c r="K176" s="2">
        <v>7.6861007338822604E-2</v>
      </c>
    </row>
    <row r="177" spans="1:11" x14ac:dyDescent="0.25">
      <c r="A177" t="s">
        <v>7</v>
      </c>
      <c r="B177" t="s">
        <v>334</v>
      </c>
      <c r="C177" t="s">
        <v>335</v>
      </c>
      <c r="D177" t="str">
        <f>_xlfn.LET(_xlpm.x,VLOOKUP(C177,[1]!Table1[[#All],[Entry]:[Gene Ontology (GO)]],5,FALSE),IF(C177="NA","NA",IF(_xlpm.x="","NA",_xlpm.x)))</f>
        <v>LOC116304369</v>
      </c>
      <c r="E177" s="4" t="str">
        <f>_xlfn.LET(_xlpm.x,VLOOKUP(C177,[1]!Table1[[#All],[Entry]:[Gene Ontology (GO)]],4,FALSE),IF(C177="NA","NA",IF(_xlpm.x="","NA",_xlpm.x)))</f>
        <v>Uncharacterized protein LOC116304369</v>
      </c>
      <c r="F177" s="4" t="str">
        <f>_xlfn.LET(_xlpm.x,VLOOKUP(C177,[1]!Table1[[#All],[Entry]:[Gene Ontology (GO)]],8,FALSE),IF(C177="NA","NA",IF(_xlpm.x="","NA",_xlpm.x)))</f>
        <v>extracellular region [GO:0005576]; peptidase inhibitor activity [GO:0030414]</v>
      </c>
      <c r="G177" s="3">
        <v>92.449997109315703</v>
      </c>
      <c r="H177" s="3">
        <v>0.58440464078479903</v>
      </c>
      <c r="I177" s="3">
        <v>0.60304881003159805</v>
      </c>
      <c r="J177" s="2">
        <v>5.0069284540936996E-4</v>
      </c>
      <c r="K177" s="2">
        <v>7.7729719404092207E-2</v>
      </c>
    </row>
    <row r="178" spans="1:11" x14ac:dyDescent="0.25">
      <c r="A178" t="s">
        <v>7</v>
      </c>
      <c r="B178" t="s">
        <v>336</v>
      </c>
      <c r="C178" t="s">
        <v>337</v>
      </c>
      <c r="D178" t="str">
        <f>_xlfn.LET(_xlpm.x,VLOOKUP(C178,[1]!Table1[[#All],[Entry]:[Gene Ontology (GO)]],5,FALSE),IF(C178="NA","NA",IF(_xlpm.x="","NA",_xlpm.x)))</f>
        <v>LOC116289533</v>
      </c>
      <c r="E178" s="4" t="str">
        <f>_xlfn.LET(_xlpm.x,VLOOKUP(C178,[1]!Table1[[#All],[Entry]:[Gene Ontology (GO)]],4,FALSE),IF(C178="NA","NA",IF(_xlpm.x="","NA",_xlpm.x)))</f>
        <v>Heme-binding protein 1</v>
      </c>
      <c r="F178" s="4" t="str">
        <f>_xlfn.LET(_xlpm.x,VLOOKUP(C178,[1]!Table1[[#All],[Entry]:[Gene Ontology (GO)]],8,FALSE),IF(C178="NA","NA",IF(_xlpm.x="","NA",_xlpm.x)))</f>
        <v>cytoplasm [GO:0005737]</v>
      </c>
      <c r="G178" s="3">
        <v>567.44748124078797</v>
      </c>
      <c r="H178" s="3">
        <v>-0.41414231303004401</v>
      </c>
      <c r="I178" s="3">
        <v>0.66704675679278702</v>
      </c>
      <c r="J178" s="2">
        <v>5.1706540358138796E-4</v>
      </c>
      <c r="K178" s="2">
        <v>7.9817954926860293E-2</v>
      </c>
    </row>
    <row r="179" spans="1:11" x14ac:dyDescent="0.25">
      <c r="A179" t="s">
        <v>7</v>
      </c>
      <c r="B179" t="s">
        <v>338</v>
      </c>
      <c r="C179" t="s">
        <v>339</v>
      </c>
      <c r="D179" t="str">
        <f>_xlfn.LET(_xlpm.x,VLOOKUP(C179,[1]!Table1[[#All],[Entry]:[Gene Ontology (GO)]],5,FALSE),IF(C179="NA","NA",IF(_xlpm.x="","NA",_xlpm.x)))</f>
        <v>LOC116297038</v>
      </c>
      <c r="E179" s="4" t="str">
        <f>_xlfn.LET(_xlpm.x,VLOOKUP(C179,[1]!Table1[[#All],[Entry]:[Gene Ontology (GO)]],4,FALSE),IF(C179="NA","NA",IF(_xlpm.x="","NA",_xlpm.x)))</f>
        <v>Transcription factor A, mitochondrial-like</v>
      </c>
      <c r="F179" s="4" t="str">
        <f>_xlfn.LET(_xlpm.x,VLOOKUP(C179,[1]!Table1[[#All],[Entry]:[Gene Ontology (GO)]],8,FALSE),IF(C179="NA","NA",IF(_xlpm.x="","NA",_xlpm.x)))</f>
        <v>nucleus [GO:0005634]; DNA binding [GO:0003677]</v>
      </c>
      <c r="G179" s="3">
        <v>687.85943760549003</v>
      </c>
      <c r="H179" s="3">
        <v>0.58022445032623504</v>
      </c>
      <c r="I179" s="3">
        <v>0.56424560952117697</v>
      </c>
      <c r="J179" s="2">
        <v>5.2840780716630097E-4</v>
      </c>
      <c r="K179" s="2">
        <v>8.1110598400027198E-2</v>
      </c>
    </row>
    <row r="180" spans="1:11" x14ac:dyDescent="0.25">
      <c r="A180" t="s">
        <v>7</v>
      </c>
      <c r="B180" t="s">
        <v>340</v>
      </c>
      <c r="C180" t="s">
        <v>341</v>
      </c>
      <c r="D180" t="str">
        <f>_xlfn.LET(_xlpm.x,VLOOKUP(C180,[1]!Table1[[#All],[Entry]:[Gene Ontology (GO)]],5,FALSE),IF(C180="NA","NA",IF(_xlpm.x="","NA",_xlpm.x)))</f>
        <v>LOC116289530</v>
      </c>
      <c r="E180" s="4" t="str">
        <f>_xlfn.LET(_xlpm.x,VLOOKUP(C180,[1]!Table1[[#All],[Entry]:[Gene Ontology (GO)]],4,FALSE),IF(C180="NA","NA",IF(_xlpm.x="","NA",_xlpm.x)))</f>
        <v>Uncharacterized protein LOC116289530</v>
      </c>
      <c r="F180" s="4" t="str">
        <f>_xlfn.LET(_xlpm.x,VLOOKUP(C180,[1]!Table1[[#All],[Entry]:[Gene Ontology (GO)]],8,FALSE),IF(C180="NA","NA",IF(_xlpm.x="","NA",_xlpm.x)))</f>
        <v>NA</v>
      </c>
      <c r="G180" s="3">
        <v>156.60961169987499</v>
      </c>
      <c r="H180" s="3">
        <v>0.572453596793155</v>
      </c>
      <c r="I180" s="3">
        <v>0.53329755012312996</v>
      </c>
      <c r="J180" s="2">
        <v>5.4179891366278098E-4</v>
      </c>
      <c r="K180" s="2">
        <v>8.21838215032374E-2</v>
      </c>
    </row>
    <row r="181" spans="1:11" ht="30" x14ac:dyDescent="0.25">
      <c r="A181" t="s">
        <v>7</v>
      </c>
      <c r="B181" t="s">
        <v>342</v>
      </c>
      <c r="C181" t="s">
        <v>343</v>
      </c>
      <c r="D181" t="str">
        <f>_xlfn.LET(_xlpm.x,VLOOKUP(C181,[1]!Table1[[#All],[Entry]:[Gene Ontology (GO)]],5,FALSE),IF(C181="NA","NA",IF(_xlpm.x="","NA",_xlpm.x)))</f>
        <v>LOC116290363</v>
      </c>
      <c r="E181" s="4" t="str">
        <f>_xlfn.LET(_xlpm.x,VLOOKUP(C181,[1]!Table1[[#All],[Entry]:[Gene Ontology (GO)]],4,FALSE),IF(C181="NA","NA",IF(_xlpm.x="","NA",_xlpm.x)))</f>
        <v>T-box transcription factor TBX10-like isoform X1</v>
      </c>
      <c r="F181" s="4" t="str">
        <f>_xlfn.LET(_xlpm.x,VLOOKUP(C181,[1]!Table1[[#All],[Entry]:[Gene Ontology (GO)]],8,FALSE),IF(C181="NA","NA",IF(_xlpm.x="","NA",_xlpm.x)))</f>
        <v>chromatin [GO:0000785]; nucleus [GO:0005634]; DNA-binding transcription factor activity, RNA polymerase II-specific [GO:0000981]; RNA polymerase II cis-regulatory region sequence-specific DNA binding [GO:0000978]; cell fate specification [GO:0001708]; positive regulation of DNA-templated transcription [GO:0045893]</v>
      </c>
      <c r="G181" s="3">
        <v>772.93619909946506</v>
      </c>
      <c r="H181" s="3">
        <v>0.56467236662348397</v>
      </c>
      <c r="I181" s="3">
        <v>0.505047131077621</v>
      </c>
      <c r="J181" s="2">
        <v>5.4135587144338803E-4</v>
      </c>
      <c r="K181" s="2">
        <v>8.21838215032374E-2</v>
      </c>
    </row>
    <row r="182" spans="1:11" x14ac:dyDescent="0.25">
      <c r="A182" t="s">
        <v>7</v>
      </c>
      <c r="B182" t="s">
        <v>344</v>
      </c>
      <c r="C182" t="s">
        <v>83</v>
      </c>
      <c r="D182" t="str">
        <f>_xlfn.LET(_xlpm.x,VLOOKUP(C182,[1]!Table1[[#All],[Entry]:[Gene Ontology (GO)]],5,FALSE),IF(C182="NA","NA",IF(_xlpm.x="","NA",_xlpm.x)))</f>
        <v>NA</v>
      </c>
      <c r="E182" s="4" t="str">
        <f>_xlfn.LET(_xlpm.x,VLOOKUP(C182,[1]!Table1[[#All],[Entry]:[Gene Ontology (GO)]],4,FALSE),IF(C182="NA","NA",IF(_xlpm.x="","NA",_xlpm.x)))</f>
        <v>NA</v>
      </c>
      <c r="F182" s="4" t="str">
        <f>_xlfn.LET(_xlpm.x,VLOOKUP(C182,[1]!Table1[[#All],[Entry]:[Gene Ontology (GO)]],8,FALSE),IF(C182="NA","NA",IF(_xlpm.x="","NA",_xlpm.x)))</f>
        <v>NA</v>
      </c>
      <c r="G182" s="3">
        <v>16789.5587090351</v>
      </c>
      <c r="H182" s="3">
        <v>-0.467995140505094</v>
      </c>
      <c r="I182" s="3">
        <v>0.37376220828981399</v>
      </c>
      <c r="J182" s="2">
        <v>5.444230755073E-4</v>
      </c>
      <c r="K182" s="2">
        <v>8.21838215032374E-2</v>
      </c>
    </row>
    <row r="183" spans="1:11" ht="30" x14ac:dyDescent="0.25">
      <c r="A183" t="s">
        <v>7</v>
      </c>
      <c r="B183" t="s">
        <v>345</v>
      </c>
      <c r="C183" t="s">
        <v>346</v>
      </c>
      <c r="D183" t="str">
        <f>_xlfn.LET(_xlpm.x,VLOOKUP(C183,[1]!Table1[[#All],[Entry]:[Gene Ontology (GO)]],5,FALSE),IF(C183="NA","NA",IF(_xlpm.x="","NA",_xlpm.x)))</f>
        <v>LOC116294439</v>
      </c>
      <c r="E183" s="4" t="str">
        <f>_xlfn.LET(_xlpm.x,VLOOKUP(C183,[1]!Table1[[#All],[Entry]:[Gene Ontology (GO)]],4,FALSE),IF(C183="NA","NA",IF(_xlpm.x="","NA",_xlpm.x)))</f>
        <v>Extracellular tyrosine-protein kinase PKDCC-like</v>
      </c>
      <c r="F183" s="4" t="str">
        <f>_xlfn.LET(_xlpm.x,VLOOKUP(C183,[1]!Table1[[#All],[Entry]:[Gene Ontology (GO)]],8,FALSE),IF(C183="NA","NA",IF(_xlpm.x="","NA",_xlpm.x)))</f>
        <v>extracellular region [GO:0005576]; ATP binding [GO:0005524]; non-membrane spanning protein tyrosine kinase activity [GO:0004715]</v>
      </c>
      <c r="G183" s="3">
        <v>371.39219822694901</v>
      </c>
      <c r="H183" s="3">
        <v>-0.54570060888419503</v>
      </c>
      <c r="I183" s="3">
        <v>0.62024567605259795</v>
      </c>
      <c r="J183" s="2">
        <v>5.5724421097978402E-4</v>
      </c>
      <c r="K183" s="2">
        <v>8.2860581269845607E-2</v>
      </c>
    </row>
    <row r="184" spans="1:11" x14ac:dyDescent="0.25">
      <c r="A184" t="s">
        <v>7</v>
      </c>
      <c r="B184" t="s">
        <v>347</v>
      </c>
      <c r="C184" t="s">
        <v>348</v>
      </c>
      <c r="D184" t="str">
        <f>_xlfn.LET(_xlpm.x,VLOOKUP(C184,[1]!Table1[[#All],[Entry]:[Gene Ontology (GO)]],5,FALSE),IF(C184="NA","NA",IF(_xlpm.x="","NA",_xlpm.x)))</f>
        <v>NA</v>
      </c>
      <c r="E184" s="4" t="str">
        <f>_xlfn.LET(_xlpm.x,VLOOKUP(C184,[1]!Table1[[#All],[Entry]:[Gene Ontology (GO)]],4,FALSE),IF(C184="NA","NA",IF(_xlpm.x="","NA",_xlpm.x)))</f>
        <v>Uncharacterized protein</v>
      </c>
      <c r="F184" s="4" t="str">
        <f>_xlfn.LET(_xlpm.x,VLOOKUP(C184,[1]!Table1[[#All],[Entry]:[Gene Ontology (GO)]],8,FALSE),IF(C184="NA","NA",IF(_xlpm.x="","NA",_xlpm.x)))</f>
        <v>BRCA1-A complex [GO:0070531]; BRCA1-BARD1 complex [GO:0031436]; ubiquitin-protein transferase activity [GO:0004842]; protein K6-linked ubiquitination [GO:0085020]</v>
      </c>
      <c r="G184" s="3">
        <v>162.36877745629499</v>
      </c>
      <c r="H184" s="3">
        <v>0.54095138413622501</v>
      </c>
      <c r="I184" s="3">
        <v>0.62328665923770699</v>
      </c>
      <c r="J184" s="2">
        <v>5.6103676517664297E-4</v>
      </c>
      <c r="K184" s="2">
        <v>8.2860581269845607E-2</v>
      </c>
    </row>
    <row r="185" spans="1:11" x14ac:dyDescent="0.25">
      <c r="A185" t="s">
        <v>7</v>
      </c>
      <c r="B185" t="s">
        <v>349</v>
      </c>
      <c r="C185" t="s">
        <v>350</v>
      </c>
      <c r="D185" t="str">
        <f>_xlfn.LET(_xlpm.x,VLOOKUP(C185,[1]!Table1[[#All],[Entry]:[Gene Ontology (GO)]],5,FALSE),IF(C185="NA","NA",IF(_xlpm.x="","NA",_xlpm.x)))</f>
        <v>pdam_00023890</v>
      </c>
      <c r="E185" s="4" t="str">
        <f>_xlfn.LET(_xlpm.x,VLOOKUP(C185,[1]!Table1[[#All],[Entry]:[Gene Ontology (GO)]],4,FALSE),IF(C185="NA","NA",IF(_xlpm.x="","NA",_xlpm.x)))</f>
        <v>GIY-YIG domain-containing protein</v>
      </c>
      <c r="F185" s="4" t="str">
        <f>_xlfn.LET(_xlpm.x,VLOOKUP(C185,[1]!Table1[[#All],[Entry]:[Gene Ontology (GO)]],8,FALSE),IF(C185="NA","NA",IF(_xlpm.x="","NA",_xlpm.x)))</f>
        <v>NA</v>
      </c>
      <c r="G185" s="3">
        <v>698.12561805388702</v>
      </c>
      <c r="H185" s="3">
        <v>0.47526790282042602</v>
      </c>
      <c r="I185" s="3">
        <v>0.38559782809474602</v>
      </c>
      <c r="J185" s="2">
        <v>5.5987544852297499E-4</v>
      </c>
      <c r="K185" s="2">
        <v>8.2860581269845607E-2</v>
      </c>
    </row>
    <row r="186" spans="1:11" ht="30" x14ac:dyDescent="0.25">
      <c r="A186" t="s">
        <v>7</v>
      </c>
      <c r="B186" t="s">
        <v>351</v>
      </c>
      <c r="C186" t="s">
        <v>352</v>
      </c>
      <c r="D186" t="str">
        <f>_xlfn.LET(_xlpm.x,VLOOKUP(C186,[1]!Table1[[#All],[Entry]:[Gene Ontology (GO)]],5,FALSE),IF(C186="NA","NA",IF(_xlpm.x="","NA",_xlpm.x)))</f>
        <v>LOC116298396</v>
      </c>
      <c r="E186" s="4" t="str">
        <f>_xlfn.LET(_xlpm.x,VLOOKUP(C186,[1]!Table1[[#All],[Entry]:[Gene Ontology (GO)]],4,FALSE),IF(C186="NA","NA",IF(_xlpm.x="","NA",_xlpm.x)))</f>
        <v>Uncharacterized protein LOC116298396</v>
      </c>
      <c r="F186" s="4" t="str">
        <f>_xlfn.LET(_xlpm.x,VLOOKUP(C186,[1]!Table1[[#All],[Entry]:[Gene Ontology (GO)]],8,FALSE),IF(C186="NA","NA",IF(_xlpm.x="","NA",_xlpm.x)))</f>
        <v>axon [GO:0030424]; exocytic vesicle [GO:0070382]; plasma membrane [GO:0005886]; presynapse [GO:0098793]; calcium ion binding [GO:0005509]; calcium-dependent phospholipid binding [GO:0005544]; clathrin binding [GO:0030276]; phosphatidylserine binding [GO:0001786]; SNARE binding [GO:0000149]; calcium ion-regulated exocytosis of neurotransmitter [GO:0048791]; vesicle fusion [GO:0006906]</v>
      </c>
      <c r="G186" s="3">
        <v>262.92126130255201</v>
      </c>
      <c r="H186" s="3">
        <v>-0.409320000048774</v>
      </c>
      <c r="I186" s="3">
        <v>0.326132024425068</v>
      </c>
      <c r="J186" s="2">
        <v>5.5749721123673395E-4</v>
      </c>
      <c r="K186" s="2">
        <v>8.2860581269845607E-2</v>
      </c>
    </row>
    <row r="187" spans="1:11" x14ac:dyDescent="0.25">
      <c r="A187" t="s">
        <v>7</v>
      </c>
      <c r="B187" t="s">
        <v>353</v>
      </c>
      <c r="C187" t="s">
        <v>75</v>
      </c>
      <c r="D187" t="str">
        <f>_xlfn.LET(_xlpm.x,VLOOKUP(C187,[1]!Table1[[#All],[Entry]:[Gene Ontology (GO)]],5,FALSE),IF(C187="NA","NA",IF(_xlpm.x="","NA",_xlpm.x)))</f>
        <v>LOC116297422</v>
      </c>
      <c r="E187" s="4" t="str">
        <f>_xlfn.LET(_xlpm.x,VLOOKUP(C187,[1]!Table1[[#All],[Entry]:[Gene Ontology (GO)]],4,FALSE),IF(C187="NA","NA",IF(_xlpm.x="","NA",_xlpm.x)))</f>
        <v>Uncharacterized protein LOC116297422</v>
      </c>
      <c r="F187" s="4" t="str">
        <f>_xlfn.LET(_xlpm.x,VLOOKUP(C187,[1]!Table1[[#All],[Entry]:[Gene Ontology (GO)]],8,FALSE),IF(C187="NA","NA",IF(_xlpm.x="","NA",_xlpm.x)))</f>
        <v>cytosol [GO:0005829]; ATP binding [GO:0005524]</v>
      </c>
      <c r="G187" s="3">
        <v>526.11131102156196</v>
      </c>
      <c r="H187" s="3">
        <v>0.51995781359350601</v>
      </c>
      <c r="I187" s="3">
        <v>0.44657538873644598</v>
      </c>
      <c r="J187" s="2">
        <v>5.8055052671487201E-4</v>
      </c>
      <c r="K187" s="2">
        <v>8.4455979561690098E-2</v>
      </c>
    </row>
    <row r="188" spans="1:11" x14ac:dyDescent="0.25">
      <c r="A188" t="s">
        <v>7</v>
      </c>
      <c r="B188" t="s">
        <v>354</v>
      </c>
      <c r="C188" t="s">
        <v>355</v>
      </c>
      <c r="D188" t="str">
        <f>_xlfn.LET(_xlpm.x,VLOOKUP(C188,[1]!Table1[[#All],[Entry]:[Gene Ontology (GO)]],5,FALSE),IF(C188="NA","NA",IF(_xlpm.x="","NA",_xlpm.x)))</f>
        <v>LOC116308172</v>
      </c>
      <c r="E188" s="4" t="str">
        <f>_xlfn.LET(_xlpm.x,VLOOKUP(C188,[1]!Table1[[#All],[Entry]:[Gene Ontology (GO)]],4,FALSE),IF(C188="NA","NA",IF(_xlpm.x="","NA",_xlpm.x)))</f>
        <v>Vegetative cell wall protein gp1-like</v>
      </c>
      <c r="F188" s="4" t="str">
        <f>_xlfn.LET(_xlpm.x,VLOOKUP(C188,[1]!Table1[[#All],[Entry]:[Gene Ontology (GO)]],8,FALSE),IF(C188="NA","NA",IF(_xlpm.x="","NA",_xlpm.x)))</f>
        <v>NA</v>
      </c>
      <c r="G188" s="3">
        <v>26.3414202511863</v>
      </c>
      <c r="H188" s="3">
        <v>0.48073007794339401</v>
      </c>
      <c r="I188" s="3">
        <v>0.64965213568555902</v>
      </c>
      <c r="J188" s="2">
        <v>5.8111203592569401E-4</v>
      </c>
      <c r="K188" s="2">
        <v>8.4455979561690098E-2</v>
      </c>
    </row>
    <row r="189" spans="1:11" x14ac:dyDescent="0.25">
      <c r="A189" t="s">
        <v>7</v>
      </c>
      <c r="B189" t="s">
        <v>356</v>
      </c>
      <c r="C189" t="s">
        <v>357</v>
      </c>
      <c r="D189" t="str">
        <f>_xlfn.LET(_xlpm.x,VLOOKUP(C189,[1]!Table1[[#All],[Entry]:[Gene Ontology (GO)]],5,FALSE),IF(C189="NA","NA",IF(_xlpm.x="","NA",_xlpm.x)))</f>
        <v>LOC116287535</v>
      </c>
      <c r="E189" s="4" t="str">
        <f>_xlfn.LET(_xlpm.x,VLOOKUP(C189,[1]!Table1[[#All],[Entry]:[Gene Ontology (GO)]],4,FALSE),IF(C189="NA","NA",IF(_xlpm.x="","NA",_xlpm.x)))</f>
        <v>Uncharacterized protein LOC116287535</v>
      </c>
      <c r="F189" s="4" t="str">
        <f>_xlfn.LET(_xlpm.x,VLOOKUP(C189,[1]!Table1[[#All],[Entry]:[Gene Ontology (GO)]],8,FALSE),IF(C189="NA","NA",IF(_xlpm.x="","NA",_xlpm.x)))</f>
        <v>NA</v>
      </c>
      <c r="G189" s="3">
        <v>42.080508515770703</v>
      </c>
      <c r="H189" s="3">
        <v>-0.16682792014235601</v>
      </c>
      <c r="I189" s="3">
        <v>0.569501190398635</v>
      </c>
      <c r="J189" s="2">
        <v>5.8056961096212504E-4</v>
      </c>
      <c r="K189" s="2">
        <v>8.4455979561690098E-2</v>
      </c>
    </row>
    <row r="190" spans="1:11" x14ac:dyDescent="0.25">
      <c r="A190" t="s">
        <v>7</v>
      </c>
      <c r="B190" t="s">
        <v>358</v>
      </c>
      <c r="C190" t="s">
        <v>359</v>
      </c>
      <c r="D190" t="str">
        <f>_xlfn.LET(_xlpm.x,VLOOKUP(C190,[1]!Table1[[#All],[Entry]:[Gene Ontology (GO)]],5,FALSE),IF(C190="NA","NA",IF(_xlpm.x="","NA",_xlpm.x)))</f>
        <v>LOC116293843</v>
      </c>
      <c r="E190" s="4" t="str">
        <f>_xlfn.LET(_xlpm.x,VLOOKUP(C190,[1]!Table1[[#All],[Entry]:[Gene Ontology (GO)]],4,FALSE),IF(C190="NA","NA",IF(_xlpm.x="","NA",_xlpm.x)))</f>
        <v>Arginine kinase</v>
      </c>
      <c r="F190" s="4" t="str">
        <f>_xlfn.LET(_xlpm.x,VLOOKUP(C190,[1]!Table1[[#All],[Entry]:[Gene Ontology (GO)]],8,FALSE),IF(C190="NA","NA",IF(_xlpm.x="","NA",_xlpm.x)))</f>
        <v>extracellular space [GO:0005615]; arginine kinase activity [GO:0004054]; ATP binding [GO:0005524]; creatine kinase activity [GO:0004111]; phosphocreatine biosynthetic process [GO:0046314]</v>
      </c>
      <c r="G190" s="3">
        <v>103.03016390187599</v>
      </c>
      <c r="H190" s="3">
        <v>-0.55414072371614598</v>
      </c>
      <c r="I190" s="3">
        <v>0.54964726757572002</v>
      </c>
      <c r="J190" s="2">
        <v>5.9508780671414297E-4</v>
      </c>
      <c r="K190" s="2">
        <v>8.5381034291737004E-2</v>
      </c>
    </row>
    <row r="191" spans="1:11" x14ac:dyDescent="0.25">
      <c r="A191" t="s">
        <v>7</v>
      </c>
      <c r="B191" t="s">
        <v>360</v>
      </c>
      <c r="C191" t="s">
        <v>361</v>
      </c>
      <c r="D191" t="str">
        <f>_xlfn.LET(_xlpm.x,VLOOKUP(C191,[1]!Table1[[#All],[Entry]:[Gene Ontology (GO)]],5,FALSE),IF(C191="NA","NA",IF(_xlpm.x="","NA",_xlpm.x)))</f>
        <v>KTx</v>
      </c>
      <c r="E191" s="4" t="str">
        <f>_xlfn.LET(_xlpm.x,VLOOKUP(C191,[1]!Table1[[#All],[Entry]:[Gene Ontology (GO)]],4,FALSE),IF(C191="NA","NA",IF(_xlpm.x="","NA",_xlpm.x)))</f>
        <v>Type III potassium channel toxin protein</v>
      </c>
      <c r="F191" s="4" t="str">
        <f>_xlfn.LET(_xlpm.x,VLOOKUP(C191,[1]!Table1[[#All],[Entry]:[Gene Ontology (GO)]],8,FALSE),IF(C191="NA","NA",IF(_xlpm.x="","NA",_xlpm.x)))</f>
        <v>monoatomic ion transmembrane transport [GO:0034220]</v>
      </c>
      <c r="G191" s="3">
        <v>1024.0107218154001</v>
      </c>
      <c r="H191" s="3">
        <v>0.55402205849892305</v>
      </c>
      <c r="I191" s="3">
        <v>0.53988283214359201</v>
      </c>
      <c r="J191" s="2">
        <v>5.9367241095072002E-4</v>
      </c>
      <c r="K191" s="2">
        <v>8.5381034291737004E-2</v>
      </c>
    </row>
    <row r="192" spans="1:11" x14ac:dyDescent="0.25">
      <c r="A192" t="s">
        <v>7</v>
      </c>
      <c r="B192" t="s">
        <v>362</v>
      </c>
      <c r="C192" t="s">
        <v>363</v>
      </c>
      <c r="D192" t="str">
        <f>_xlfn.LET(_xlpm.x,VLOOKUP(C192,[1]!Table1[[#All],[Entry]:[Gene Ontology (GO)]],5,FALSE),IF(C192="NA","NA",IF(_xlpm.x="","NA",_xlpm.x)))</f>
        <v>LOC116296293</v>
      </c>
      <c r="E192" s="4" t="str">
        <f>_xlfn.LET(_xlpm.x,VLOOKUP(C192,[1]!Table1[[#All],[Entry]:[Gene Ontology (GO)]],4,FALSE),IF(C192="NA","NA",IF(_xlpm.x="","NA",_xlpm.x)))</f>
        <v>Polycystic kidney disease protein 1-like 2</v>
      </c>
      <c r="F192" s="4" t="str">
        <f>_xlfn.LET(_xlpm.x,VLOOKUP(C192,[1]!Table1[[#All],[Entry]:[Gene Ontology (GO)]],8,FALSE),IF(C192="NA","NA",IF(_xlpm.x="","NA",_xlpm.x)))</f>
        <v>cilium [GO:0005929]; plasma membrane [GO:0005886]; calcium channel activity [GO:0005262]; calcium ion binding [GO:0005509]; detection of mechanical stimulus [GO:0050982]</v>
      </c>
      <c r="G192" s="3">
        <v>370.75488465366902</v>
      </c>
      <c r="H192" s="3">
        <v>-0.54368795780141699</v>
      </c>
      <c r="I192" s="3">
        <v>0.50145977213639004</v>
      </c>
      <c r="J192" s="2">
        <v>5.9685164695391299E-4</v>
      </c>
      <c r="K192" s="2">
        <v>8.5381034291737004E-2</v>
      </c>
    </row>
    <row r="193" spans="1:11" x14ac:dyDescent="0.25">
      <c r="A193" t="s">
        <v>7</v>
      </c>
      <c r="B193" t="s">
        <v>364</v>
      </c>
      <c r="C193" t="s">
        <v>365</v>
      </c>
      <c r="D193" t="str">
        <f>_xlfn.LET(_xlpm.x,VLOOKUP(C193,[1]!Table1[[#All],[Entry]:[Gene Ontology (GO)]],5,FALSE),IF(C193="NA","NA",IF(_xlpm.x="","NA",_xlpm.x)))</f>
        <v>NEMVEDRAFT_v1g25864</v>
      </c>
      <c r="E193" s="4" t="str">
        <f>_xlfn.LET(_xlpm.x,VLOOKUP(C193,[1]!Table1[[#All],[Entry]:[Gene Ontology (GO)]],4,FALSE),IF(C193="NA","NA",IF(_xlpm.x="","NA",_xlpm.x)))</f>
        <v>Uncharacterized protein</v>
      </c>
      <c r="F193" s="4" t="str">
        <f>_xlfn.LET(_xlpm.x,VLOOKUP(C193,[1]!Table1[[#All],[Entry]:[Gene Ontology (GO)]],8,FALSE),IF(C193="NA","NA",IF(_xlpm.x="","NA",_xlpm.x)))</f>
        <v>NA</v>
      </c>
      <c r="G193" s="3">
        <v>112.12900332559801</v>
      </c>
      <c r="H193" s="3">
        <v>-0.54683119997580398</v>
      </c>
      <c r="I193" s="3">
        <v>0.55235418273685299</v>
      </c>
      <c r="J193" s="2">
        <v>6.1535950806888503E-4</v>
      </c>
      <c r="K193" s="2">
        <v>8.6222911994698198E-2</v>
      </c>
    </row>
    <row r="194" spans="1:11" x14ac:dyDescent="0.25">
      <c r="A194" t="s">
        <v>7</v>
      </c>
      <c r="B194" t="s">
        <v>366</v>
      </c>
      <c r="C194" t="s">
        <v>367</v>
      </c>
      <c r="D194" t="str">
        <f>_xlfn.LET(_xlpm.x,VLOOKUP(C194,[1]!Table1[[#All],[Entry]:[Gene Ontology (GO)]],5,FALSE),IF(C194="NA","NA",IF(_xlpm.x="","NA",_xlpm.x)))</f>
        <v>LOC116303514</v>
      </c>
      <c r="E194" s="4" t="str">
        <f>_xlfn.LET(_xlpm.x,VLOOKUP(C194,[1]!Table1[[#All],[Entry]:[Gene Ontology (GO)]],4,FALSE),IF(C194="NA","NA",IF(_xlpm.x="","NA",_xlpm.x)))</f>
        <v>Uncharacterized protein LOC116303514</v>
      </c>
      <c r="F194" s="4" t="str">
        <f>_xlfn.LET(_xlpm.x,VLOOKUP(C194,[1]!Table1[[#All],[Entry]:[Gene Ontology (GO)]],8,FALSE),IF(C194="NA","NA",IF(_xlpm.x="","NA",_xlpm.x)))</f>
        <v>NA</v>
      </c>
      <c r="G194" s="3">
        <v>82.460103432499395</v>
      </c>
      <c r="H194" s="3">
        <v>0.54448111237765195</v>
      </c>
      <c r="I194" s="3">
        <v>0.57876121617785103</v>
      </c>
      <c r="J194" s="2">
        <v>6.1149201045834496E-4</v>
      </c>
      <c r="K194" s="2">
        <v>8.6222911994698198E-2</v>
      </c>
    </row>
    <row r="195" spans="1:11" x14ac:dyDescent="0.25">
      <c r="A195" t="s">
        <v>7</v>
      </c>
      <c r="B195" t="s">
        <v>368</v>
      </c>
      <c r="C195" t="s">
        <v>369</v>
      </c>
      <c r="D195" t="str">
        <f>_xlfn.LET(_xlpm.x,VLOOKUP(C195,[1]!Table1[[#All],[Entry]:[Gene Ontology (GO)]],5,FALSE),IF(C195="NA","NA",IF(_xlpm.x="","NA",_xlpm.x)))</f>
        <v>LOC116299435</v>
      </c>
      <c r="E195" s="4" t="str">
        <f>_xlfn.LET(_xlpm.x,VLOOKUP(C195,[1]!Table1[[#All],[Entry]:[Gene Ontology (GO)]],4,FALSE),IF(C195="NA","NA",IF(_xlpm.x="","NA",_xlpm.x)))</f>
        <v>Uncharacterized protein LOC116299435</v>
      </c>
      <c r="F195" s="4" t="str">
        <f>_xlfn.LET(_xlpm.x,VLOOKUP(C195,[1]!Table1[[#All],[Entry]:[Gene Ontology (GO)]],8,FALSE),IF(C195="NA","NA",IF(_xlpm.x="","NA",_xlpm.x)))</f>
        <v>DNA binding [GO:0003677]; DNA integration [GO:0015074]; DNA recombination [GO:0006310]</v>
      </c>
      <c r="G195" s="3">
        <v>37.294085259666197</v>
      </c>
      <c r="H195" s="3">
        <v>-0.51685242342936599</v>
      </c>
      <c r="I195" s="3">
        <v>0.62151489099310597</v>
      </c>
      <c r="J195" s="2">
        <v>6.1157446020803903E-4</v>
      </c>
      <c r="K195" s="2">
        <v>8.6222911994698198E-2</v>
      </c>
    </row>
    <row r="196" spans="1:11" x14ac:dyDescent="0.25">
      <c r="A196" t="s">
        <v>7</v>
      </c>
      <c r="B196" t="s">
        <v>370</v>
      </c>
      <c r="C196" t="s">
        <v>371</v>
      </c>
      <c r="D196" t="str">
        <f>_xlfn.LET(_xlpm.x,VLOOKUP(C196,[1]!Table1[[#All],[Entry]:[Gene Ontology (GO)]],5,FALSE),IF(C196="NA","NA",IF(_xlpm.x="","NA",_xlpm.x)))</f>
        <v>LOC116303701</v>
      </c>
      <c r="E196" s="4" t="str">
        <f>_xlfn.LET(_xlpm.x,VLOOKUP(C196,[1]!Table1[[#All],[Entry]:[Gene Ontology (GO)]],4,FALSE),IF(C196="NA","NA",IF(_xlpm.x="","NA",_xlpm.x)))</f>
        <v>Transmembrane protein 53-like</v>
      </c>
      <c r="F196" s="4" t="str">
        <f>_xlfn.LET(_xlpm.x,VLOOKUP(C196,[1]!Table1[[#All],[Entry]:[Gene Ontology (GO)]],8,FALSE),IF(C196="NA","NA",IF(_xlpm.x="","NA",_xlpm.x)))</f>
        <v>serine hydrolase activity [GO:0017171]</v>
      </c>
      <c r="G196" s="3">
        <v>567.81675608810099</v>
      </c>
      <c r="H196" s="3">
        <v>0.50120688907358402</v>
      </c>
      <c r="I196" s="3">
        <v>0.43487492163813901</v>
      </c>
      <c r="J196" s="2">
        <v>6.1444343573397104E-4</v>
      </c>
      <c r="K196" s="2">
        <v>8.6222911994698198E-2</v>
      </c>
    </row>
    <row r="197" spans="1:11" x14ac:dyDescent="0.25">
      <c r="A197" t="s">
        <v>7</v>
      </c>
      <c r="B197" t="s">
        <v>372</v>
      </c>
      <c r="C197" t="s">
        <v>373</v>
      </c>
      <c r="D197" t="str">
        <f>_xlfn.LET(_xlpm.x,VLOOKUP(C197,[1]!Table1[[#All],[Entry]:[Gene Ontology (GO)]],5,FALSE),IF(C197="NA","NA",IF(_xlpm.x="","NA",_xlpm.x)))</f>
        <v>LOC116301779</v>
      </c>
      <c r="E197" s="4" t="str">
        <f>_xlfn.LET(_xlpm.x,VLOOKUP(C197,[1]!Table1[[#All],[Entry]:[Gene Ontology (GO)]],4,FALSE),IF(C197="NA","NA",IF(_xlpm.x="","NA",_xlpm.x)))</f>
        <v>Neuroendocrine convertase 1-like</v>
      </c>
      <c r="F197" s="4" t="str">
        <f>_xlfn.LET(_xlpm.x,VLOOKUP(C197,[1]!Table1[[#All],[Entry]:[Gene Ontology (GO)]],8,FALSE),IF(C197="NA","NA",IF(_xlpm.x="","NA",_xlpm.x)))</f>
        <v>cytoplasm [GO:0005737]; endomembrane system [GO:0012505]; membrane [GO:0016020]; serine-type endopeptidase activity [GO:0004252]; protein processing [GO:0016485]</v>
      </c>
      <c r="G197" s="3">
        <v>1659.49705957725</v>
      </c>
      <c r="H197" s="3">
        <v>-0.376155880062369</v>
      </c>
      <c r="I197" s="3">
        <v>0.31575683615391997</v>
      </c>
      <c r="J197" s="2">
        <v>6.3858287970734902E-4</v>
      </c>
      <c r="K197" s="2">
        <v>8.9020408276754504E-2</v>
      </c>
    </row>
    <row r="198" spans="1:11" ht="30" x14ac:dyDescent="0.25">
      <c r="A198" t="s">
        <v>7</v>
      </c>
      <c r="B198" t="s">
        <v>374</v>
      </c>
      <c r="C198" t="s">
        <v>375</v>
      </c>
      <c r="D198" t="str">
        <f>_xlfn.LET(_xlpm.x,VLOOKUP(C198,[1]!Table1[[#All],[Entry]:[Gene Ontology (GO)]],5,FALSE),IF(C198="NA","NA",IF(_xlpm.x="","NA",_xlpm.x)))</f>
        <v>LOC116296577</v>
      </c>
      <c r="E198" s="4" t="str">
        <f>_xlfn.LET(_xlpm.x,VLOOKUP(C198,[1]!Table1[[#All],[Entry]:[Gene Ontology (GO)]],4,FALSE),IF(C198="NA","NA",IF(_xlpm.x="","NA",_xlpm.x)))</f>
        <v>Sushi, nidogen and EGF-like domain-containing protein 1</v>
      </c>
      <c r="F198" s="4" t="str">
        <f>_xlfn.LET(_xlpm.x,VLOOKUP(C198,[1]!Table1[[#All],[Entry]:[Gene Ontology (GO)]],8,FALSE),IF(C198="NA","NA",IF(_xlpm.x="","NA",_xlpm.x)))</f>
        <v>plasma membrane [GO:0005886]; protein-containing complex [GO:0032991]; calcium ion binding [GO:0005509]; establishment or maintenance of epithelial cell apical/basal polarity [GO:0045197]; heterophilic cell-cell adhesion via plasma membrane cell adhesion molecules [GO:0007157]</v>
      </c>
      <c r="G198" s="3">
        <v>310.20120197221797</v>
      </c>
      <c r="H198" s="3">
        <v>-9.7663136930167802E-2</v>
      </c>
      <c r="I198" s="3">
        <v>0.51763108399499502</v>
      </c>
      <c r="J198" s="2">
        <v>7.0485282414764505E-4</v>
      </c>
      <c r="K198" s="2">
        <v>9.7759866569472595E-2</v>
      </c>
    </row>
    <row r="199" spans="1:11" ht="30" x14ac:dyDescent="0.25">
      <c r="A199" t="s">
        <v>7</v>
      </c>
      <c r="B199" t="s">
        <v>376</v>
      </c>
      <c r="C199" t="s">
        <v>377</v>
      </c>
      <c r="D199" t="str">
        <f>_xlfn.LET(_xlpm.x,VLOOKUP(C199,[1]!Table1[[#All],[Entry]:[Gene Ontology (GO)]],5,FALSE),IF(C199="NA","NA",IF(_xlpm.x="","NA",_xlpm.x)))</f>
        <v>LOC116295620</v>
      </c>
      <c r="E199" s="4" t="str">
        <f>_xlfn.LET(_xlpm.x,VLOOKUP(C199,[1]!Table1[[#All],[Entry]:[Gene Ontology (GO)]],4,FALSE),IF(C199="NA","NA",IF(_xlpm.x="","NA",_xlpm.x)))</f>
        <v>Uncharacterized protein LOC116295620 isoform X1</v>
      </c>
      <c r="F199" s="4" t="str">
        <f>_xlfn.LET(_xlpm.x,VLOOKUP(C199,[1]!Table1[[#All],[Entry]:[Gene Ontology (GO)]],8,FALSE),IF(C199="NA","NA",IF(_xlpm.x="","NA",_xlpm.x)))</f>
        <v>NA</v>
      </c>
      <c r="G199" s="3">
        <v>1420.3167770753801</v>
      </c>
      <c r="H199" s="3">
        <v>-0.47757831316889099</v>
      </c>
      <c r="I199" s="3">
        <v>0.43971223152157002</v>
      </c>
      <c r="J199" s="2">
        <v>7.1352707736055095E-4</v>
      </c>
      <c r="K199" s="2">
        <v>9.8463133003648201E-2</v>
      </c>
    </row>
    <row r="200" spans="1:11" x14ac:dyDescent="0.25">
      <c r="A200" t="s">
        <v>7</v>
      </c>
      <c r="B200" t="s">
        <v>378</v>
      </c>
      <c r="C200" t="s">
        <v>379</v>
      </c>
      <c r="D200" t="str">
        <f>_xlfn.LET(_xlpm.x,VLOOKUP(C200,[1]!Table1[[#All],[Entry]:[Gene Ontology (GO)]],5,FALSE),IF(C200="NA","NA",IF(_xlpm.x="","NA",_xlpm.x)))</f>
        <v>LOC116296669</v>
      </c>
      <c r="E200" s="4" t="str">
        <f>_xlfn.LET(_xlpm.x,VLOOKUP(C200,[1]!Table1[[#All],[Entry]:[Gene Ontology (GO)]],4,FALSE),IF(C200="NA","NA",IF(_xlpm.x="","NA",_xlpm.x)))</f>
        <v>Cholinesterase 1-like</v>
      </c>
      <c r="F200" s="4" t="str">
        <f>_xlfn.LET(_xlpm.x,VLOOKUP(C200,[1]!Table1[[#All],[Entry]:[Gene Ontology (GO)]],8,FALSE),IF(C200="NA","NA",IF(_xlpm.x="","NA",_xlpm.x)))</f>
        <v>carboxylic ester hydrolase activity [GO:0052689]</v>
      </c>
      <c r="G200" s="3">
        <v>49.968118613936703</v>
      </c>
      <c r="H200" s="3">
        <v>-0.50648459368918697</v>
      </c>
      <c r="I200" s="3">
        <v>0.50958472076124295</v>
      </c>
      <c r="J200" s="2">
        <v>7.2790424777052201E-4</v>
      </c>
      <c r="K200" s="2">
        <v>9.9329312662909897E-2</v>
      </c>
    </row>
    <row r="201" spans="1:11" x14ac:dyDescent="0.25">
      <c r="A201" t="s">
        <v>7</v>
      </c>
      <c r="B201" t="s">
        <v>380</v>
      </c>
      <c r="C201" t="s">
        <v>381</v>
      </c>
      <c r="D201" t="str">
        <f>_xlfn.LET(_xlpm.x,VLOOKUP(C201,[1]!Table1[[#All],[Entry]:[Gene Ontology (GO)]],5,FALSE),IF(C201="NA","NA",IF(_xlpm.x="","NA",_xlpm.x)))</f>
        <v>LOC116305123</v>
      </c>
      <c r="E201" s="4" t="str">
        <f>_xlfn.LET(_xlpm.x,VLOOKUP(C201,[1]!Table1[[#All],[Entry]:[Gene Ontology (GO)]],4,FALSE),IF(C201="NA","NA",IF(_xlpm.x="","NA",_xlpm.x)))</f>
        <v>E3 ubiquitin-protein ligase TRIM71-like</v>
      </c>
      <c r="F201" s="4" t="str">
        <f>_xlfn.LET(_xlpm.x,VLOOKUP(C201,[1]!Table1[[#All],[Entry]:[Gene Ontology (GO)]],8,FALSE),IF(C201="NA","NA",IF(_xlpm.x="","NA",_xlpm.x)))</f>
        <v>ubiquitin protein ligase activity [GO:0061630]; zinc ion binding [GO:0008270]; proteasome-mediated ubiquitin-dependent protein catabolic process [GO:0043161]; protein polyubiquitination [GO:0000209]</v>
      </c>
      <c r="G201" s="3">
        <v>24.678216341995999</v>
      </c>
      <c r="H201" s="3">
        <v>0.48115805203249501</v>
      </c>
      <c r="I201" s="3">
        <v>0.60492431635107902</v>
      </c>
      <c r="J201" s="2">
        <v>7.2983882643471701E-4</v>
      </c>
      <c r="K201" s="2">
        <v>9.9329312662909897E-2</v>
      </c>
    </row>
    <row r="202" spans="1:11" x14ac:dyDescent="0.25">
      <c r="A202" t="s">
        <v>7</v>
      </c>
      <c r="B202" t="s">
        <v>382</v>
      </c>
      <c r="C202" t="s">
        <v>383</v>
      </c>
      <c r="D202" t="str">
        <f>_xlfn.LET(_xlpm.x,VLOOKUP(C202,[1]!Table1[[#All],[Entry]:[Gene Ontology (GO)]],5,FALSE),IF(C202="NA","NA",IF(_xlpm.x="","NA",_xlpm.x)))</f>
        <v>LOC116294724</v>
      </c>
      <c r="E202" s="4" t="str">
        <f>_xlfn.LET(_xlpm.x,VLOOKUP(C202,[1]!Table1[[#All],[Entry]:[Gene Ontology (GO)]],4,FALSE),IF(C202="NA","NA",IF(_xlpm.x="","NA",_xlpm.x)))</f>
        <v>Uncharacterized protein LOC116294724</v>
      </c>
      <c r="F202" s="4" t="str">
        <f>_xlfn.LET(_xlpm.x,VLOOKUP(C202,[1]!Table1[[#All],[Entry]:[Gene Ontology (GO)]],8,FALSE),IF(C202="NA","NA",IF(_xlpm.x="","NA",_xlpm.x)))</f>
        <v>axon [GO:0030424]; plasma membrane [GO:0005886]; cell-cell adhesion mediator activity [GO:0098632]; axon guidance [GO:0007411]; dendrite self-avoidance [GO:0070593]; homophilic cell adhesion via plasma membrane adhesion molecules [GO:0007156]</v>
      </c>
      <c r="G202" s="3">
        <v>57.534020207776898</v>
      </c>
      <c r="H202" s="3">
        <v>0.48095568494538798</v>
      </c>
      <c r="I202" s="3">
        <v>0.60076893997858105</v>
      </c>
      <c r="J202" s="2">
        <v>7.4161621283291097E-4</v>
      </c>
      <c r="K202" s="2">
        <v>9.9329312662909897E-2</v>
      </c>
    </row>
    <row r="203" spans="1:11" x14ac:dyDescent="0.25">
      <c r="A203" t="s">
        <v>7</v>
      </c>
      <c r="B203" t="s">
        <v>384</v>
      </c>
      <c r="C203" t="s">
        <v>350</v>
      </c>
      <c r="D203" t="str">
        <f>_xlfn.LET(_xlpm.x,VLOOKUP(C203,[1]!Table1[[#All],[Entry]:[Gene Ontology (GO)]],5,FALSE),IF(C203="NA","NA",IF(_xlpm.x="","NA",_xlpm.x)))</f>
        <v>pdam_00023890</v>
      </c>
      <c r="E203" s="4" t="str">
        <f>_xlfn.LET(_xlpm.x,VLOOKUP(C203,[1]!Table1[[#All],[Entry]:[Gene Ontology (GO)]],4,FALSE),IF(C203="NA","NA",IF(_xlpm.x="","NA",_xlpm.x)))</f>
        <v>GIY-YIG domain-containing protein</v>
      </c>
      <c r="F203" s="4" t="str">
        <f>_xlfn.LET(_xlpm.x,VLOOKUP(C203,[1]!Table1[[#All],[Entry]:[Gene Ontology (GO)]],8,FALSE),IF(C203="NA","NA",IF(_xlpm.x="","NA",_xlpm.x)))</f>
        <v>NA</v>
      </c>
      <c r="G203" s="3">
        <v>64.137211419607397</v>
      </c>
      <c r="H203" s="3">
        <v>0.47922130096847698</v>
      </c>
      <c r="I203" s="3">
        <v>0.45097830484854801</v>
      </c>
      <c r="J203" s="2">
        <v>7.3561523476268402E-4</v>
      </c>
      <c r="K203" s="2">
        <v>9.9329312662909897E-2</v>
      </c>
    </row>
    <row r="204" spans="1:11" x14ac:dyDescent="0.25">
      <c r="A204" t="s">
        <v>7</v>
      </c>
      <c r="B204" t="s">
        <v>385</v>
      </c>
      <c r="C204" t="s">
        <v>386</v>
      </c>
      <c r="D204" t="str">
        <f>_xlfn.LET(_xlpm.x,VLOOKUP(C204,[1]!Table1[[#All],[Entry]:[Gene Ontology (GO)]],5,FALSE),IF(C204="NA","NA",IF(_xlpm.x="","NA",_xlpm.x)))</f>
        <v>LOC116291462</v>
      </c>
      <c r="E204" s="4" t="str">
        <f>_xlfn.LET(_xlpm.x,VLOOKUP(C204,[1]!Table1[[#All],[Entry]:[Gene Ontology (GO)]],4,FALSE),IF(C204="NA","NA",IF(_xlpm.x="","NA",_xlpm.x)))</f>
        <v>Uncharacterized protein LOC116291462</v>
      </c>
      <c r="F204" s="4" t="str">
        <f>_xlfn.LET(_xlpm.x,VLOOKUP(C204,[1]!Table1[[#All],[Entry]:[Gene Ontology (GO)]],8,FALSE),IF(C204="NA","NA",IF(_xlpm.x="","NA",_xlpm.x)))</f>
        <v>NA</v>
      </c>
      <c r="G204" s="3">
        <v>327.58049027236899</v>
      </c>
      <c r="H204" s="3">
        <v>-0.36867871727700502</v>
      </c>
      <c r="I204" s="3">
        <v>0.32726011161677099</v>
      </c>
      <c r="J204" s="2">
        <v>7.3968963228361801E-4</v>
      </c>
      <c r="K204" s="2">
        <v>9.9329312662909897E-2</v>
      </c>
    </row>
    <row r="205" spans="1:11" x14ac:dyDescent="0.25">
      <c r="A205" t="s">
        <v>7</v>
      </c>
      <c r="B205" t="s">
        <v>387</v>
      </c>
      <c r="C205" t="s">
        <v>388</v>
      </c>
      <c r="D205" t="str">
        <f>_xlfn.LET(_xlpm.x,VLOOKUP(C205,[1]!Table1[[#All],[Entry]:[Gene Ontology (GO)]],5,FALSE),IF(C205="NA","NA",IF(_xlpm.x="","NA",_xlpm.x)))</f>
        <v>LOC116296968</v>
      </c>
      <c r="E205" s="4" t="str">
        <f>_xlfn.LET(_xlpm.x,VLOOKUP(C205,[1]!Table1[[#All],[Entry]:[Gene Ontology (GO)]],4,FALSE),IF(C205="NA","NA",IF(_xlpm.x="","NA",_xlpm.x)))</f>
        <v>Nucleoside diphosphate kinase (EC 2.7.4.6)</v>
      </c>
      <c r="F205" s="4" t="str">
        <f>_xlfn.LET(_xlpm.x,VLOOKUP(C205,[1]!Table1[[#All],[Entry]:[Gene Ontology (GO)]],8,FALSE),IF(C205="NA","NA",IF(_xlpm.x="","NA",_xlpm.x)))</f>
        <v>ATP binding [GO:0005524]; nucleoside diphosphate kinase activity [GO:0004550]; CTP biosynthetic process [GO:0006241]; GTP biosynthetic process [GO:0006183]; UTP biosynthetic process [GO:0006228]</v>
      </c>
      <c r="G205" s="3">
        <v>26.536531830780799</v>
      </c>
      <c r="H205" s="3">
        <v>0.247612307712542</v>
      </c>
      <c r="I205" s="3">
        <v>0.58136886809231703</v>
      </c>
      <c r="J205" s="2">
        <v>7.3236229799452204E-4</v>
      </c>
      <c r="K205" s="2">
        <v>9.9329312662909897E-2</v>
      </c>
    </row>
    <row r="206" spans="1:11" x14ac:dyDescent="0.25">
      <c r="A206" t="s">
        <v>7</v>
      </c>
      <c r="B206" t="s">
        <v>389</v>
      </c>
      <c r="C206" t="s">
        <v>390</v>
      </c>
      <c r="D206" t="str">
        <f>_xlfn.LET(_xlpm.x,VLOOKUP(C206,[1]!Table1[[#All],[Entry]:[Gene Ontology (GO)]],5,FALSE),IF(C206="NA","NA",IF(_xlpm.x="","NA",_xlpm.x)))</f>
        <v>LOC116291252</v>
      </c>
      <c r="E206" s="4" t="str">
        <f>_xlfn.LET(_xlpm.x,VLOOKUP(C206,[1]!Table1[[#All],[Entry]:[Gene Ontology (GO)]],4,FALSE),IF(C206="NA","NA",IF(_xlpm.x="","NA",_xlpm.x)))</f>
        <v>Multidrug and toxin extrusion protein</v>
      </c>
      <c r="F206" s="4" t="str">
        <f>_xlfn.LET(_xlpm.x,VLOOKUP(C206,[1]!Table1[[#All],[Entry]:[Gene Ontology (GO)]],8,FALSE),IF(C206="NA","NA",IF(_xlpm.x="","NA",_xlpm.x)))</f>
        <v>membrane [GO:0016020]; antiporter activity [GO:0015297]; xenobiotic transmembrane transporter activity [GO:0042910]; xenobiotic detoxification by transmembrane export across the plasma membrane [GO:1990961]</v>
      </c>
      <c r="G206" s="3">
        <v>54.500943927894603</v>
      </c>
      <c r="H206" s="3">
        <v>0.50066506199231497</v>
      </c>
      <c r="I206" s="3">
        <v>0.529257610412318</v>
      </c>
      <c r="J206" s="2">
        <v>7.60801041240219E-4</v>
      </c>
      <c r="K206" s="2">
        <v>9.9529304830787396E-2</v>
      </c>
    </row>
    <row r="207" spans="1:11" x14ac:dyDescent="0.25">
      <c r="A207" t="s">
        <v>7</v>
      </c>
      <c r="B207" t="s">
        <v>391</v>
      </c>
      <c r="C207" t="s">
        <v>392</v>
      </c>
      <c r="D207" t="str">
        <f>_xlfn.LET(_xlpm.x,VLOOKUP(C207,[1]!Table1[[#All],[Entry]:[Gene Ontology (GO)]],5,FALSE),IF(C207="NA","NA",IF(_xlpm.x="","NA",_xlpm.x)))</f>
        <v>LOC116291425</v>
      </c>
      <c r="E207" s="4" t="str">
        <f>_xlfn.LET(_xlpm.x,VLOOKUP(C207,[1]!Table1[[#All],[Entry]:[Gene Ontology (GO)]],4,FALSE),IF(C207="NA","NA",IF(_xlpm.x="","NA",_xlpm.x)))</f>
        <v>Uncharacterized protein C1orf158 homolog</v>
      </c>
      <c r="F207" s="4" t="str">
        <f>_xlfn.LET(_xlpm.x,VLOOKUP(C207,[1]!Table1[[#All],[Entry]:[Gene Ontology (GO)]],8,FALSE),IF(C207="NA","NA",IF(_xlpm.x="","NA",_xlpm.x)))</f>
        <v>axonemal microtubule [GO:0005879]; flagellated sperm motility [GO:0030317]</v>
      </c>
      <c r="G207" s="3">
        <v>30.298761851884599</v>
      </c>
      <c r="H207" s="3">
        <v>0.49799410664785398</v>
      </c>
      <c r="I207" s="3">
        <v>0.56800784872201404</v>
      </c>
      <c r="J207" s="2">
        <v>7.5429817038794402E-4</v>
      </c>
      <c r="K207" s="2">
        <v>9.9529304830787396E-2</v>
      </c>
    </row>
    <row r="208" spans="1:11" x14ac:dyDescent="0.25">
      <c r="A208" t="s">
        <v>7</v>
      </c>
      <c r="B208" t="s">
        <v>393</v>
      </c>
      <c r="C208" t="s">
        <v>394</v>
      </c>
      <c r="D208" t="str">
        <f>_xlfn.LET(_xlpm.x,VLOOKUP(C208,[1]!Table1[[#All],[Entry]:[Gene Ontology (GO)]],5,FALSE),IF(C208="NA","NA",IF(_xlpm.x="","NA",_xlpm.x)))</f>
        <v>LOC116287132</v>
      </c>
      <c r="E208" s="4" t="str">
        <f>_xlfn.LET(_xlpm.x,VLOOKUP(C208,[1]!Table1[[#All],[Entry]:[Gene Ontology (GO)]],4,FALSE),IF(C208="NA","NA",IF(_xlpm.x="","NA",_xlpm.x)))</f>
        <v>Protein HOS4-like</v>
      </c>
      <c r="F208" s="4" t="str">
        <f>_xlfn.LET(_xlpm.x,VLOOKUP(C208,[1]!Table1[[#All],[Entry]:[Gene Ontology (GO)]],8,FALSE),IF(C208="NA","NA",IF(_xlpm.x="","NA",_xlpm.x)))</f>
        <v>NA</v>
      </c>
      <c r="G208" s="3">
        <v>78.719808946622507</v>
      </c>
      <c r="H208" s="3">
        <v>0.49054960987956903</v>
      </c>
      <c r="I208" s="3">
        <v>0.49192859455353299</v>
      </c>
      <c r="J208" s="2">
        <v>7.6860825382630605E-4</v>
      </c>
      <c r="K208" s="2">
        <v>9.9529304830787396E-2</v>
      </c>
    </row>
    <row r="209" spans="1:11" x14ac:dyDescent="0.25">
      <c r="A209" t="s">
        <v>7</v>
      </c>
      <c r="B209" t="s">
        <v>395</v>
      </c>
      <c r="C209" t="s">
        <v>396</v>
      </c>
      <c r="D209" t="str">
        <f>_xlfn.LET(_xlpm.x,VLOOKUP(C209,[1]!Table1[[#All],[Entry]:[Gene Ontology (GO)]],5,FALSE),IF(C209="NA","NA",IF(_xlpm.x="","NA",_xlpm.x)))</f>
        <v>LOC116306447</v>
      </c>
      <c r="E209" s="4" t="str">
        <f>_xlfn.LET(_xlpm.x,VLOOKUP(C209,[1]!Table1[[#All],[Entry]:[Gene Ontology (GO)]],4,FALSE),IF(C209="NA","NA",IF(_xlpm.x="","NA",_xlpm.x)))</f>
        <v>Hornerin-like</v>
      </c>
      <c r="F209" s="4" t="str">
        <f>_xlfn.LET(_xlpm.x,VLOOKUP(C209,[1]!Table1[[#All],[Entry]:[Gene Ontology (GO)]],8,FALSE),IF(C209="NA","NA",IF(_xlpm.x="","NA",_xlpm.x)))</f>
        <v>membrane [GO:0016020]</v>
      </c>
      <c r="G209" s="3">
        <v>55.999274058173697</v>
      </c>
      <c r="H209" s="3">
        <v>0.42370043320323098</v>
      </c>
      <c r="I209" s="3">
        <v>0.62316109908568695</v>
      </c>
      <c r="J209" s="2">
        <v>7.5367371537166496E-4</v>
      </c>
      <c r="K209" s="2">
        <v>9.9529304830787396E-2</v>
      </c>
    </row>
    <row r="210" spans="1:11" x14ac:dyDescent="0.25">
      <c r="A210" t="s">
        <v>7</v>
      </c>
      <c r="B210" t="s">
        <v>397</v>
      </c>
      <c r="C210" t="s">
        <v>398</v>
      </c>
      <c r="D210" t="str">
        <f>_xlfn.LET(_xlpm.x,VLOOKUP(C210,[1]!Table1[[#All],[Entry]:[Gene Ontology (GO)]],5,FALSE),IF(C210="NA","NA",IF(_xlpm.x="","NA",_xlpm.x)))</f>
        <v>PACLA_8A022546</v>
      </c>
      <c r="E210" s="4" t="str">
        <f>_xlfn.LET(_xlpm.x,VLOOKUP(C210,[1]!Table1[[#All],[Entry]:[Gene Ontology (GO)]],4,FALSE),IF(C210="NA","NA",IF(_xlpm.x="","NA",_xlpm.x)))</f>
        <v>Uncharacterized protein</v>
      </c>
      <c r="F210" s="4" t="str">
        <f>_xlfn.LET(_xlpm.x,VLOOKUP(C210,[1]!Table1[[#All],[Entry]:[Gene Ontology (GO)]],8,FALSE),IF(C210="NA","NA",IF(_xlpm.x="","NA",_xlpm.x)))</f>
        <v>NA</v>
      </c>
      <c r="G210" s="3">
        <v>451.03884692398901</v>
      </c>
      <c r="H210" s="3">
        <v>0.41196964823478399</v>
      </c>
      <c r="I210" s="3">
        <v>0.37377853150181101</v>
      </c>
      <c r="J210" s="2">
        <v>7.6618838882863997E-4</v>
      </c>
      <c r="K210" s="2">
        <v>9.9529304830787396E-2</v>
      </c>
    </row>
    <row r="211" spans="1:11" x14ac:dyDescent="0.25">
      <c r="A211" t="s">
        <v>7</v>
      </c>
      <c r="B211" t="s">
        <v>399</v>
      </c>
      <c r="C211" t="s">
        <v>400</v>
      </c>
      <c r="D211" t="str">
        <f>_xlfn.LET(_xlpm.x,VLOOKUP(C211,[1]!Table1[[#All],[Entry]:[Gene Ontology (GO)]],5,FALSE),IF(C211="NA","NA",IF(_xlpm.x="","NA",_xlpm.x)))</f>
        <v>LOC116294086</v>
      </c>
      <c r="E211" s="4" t="str">
        <f>_xlfn.LET(_xlpm.x,VLOOKUP(C211,[1]!Table1[[#All],[Entry]:[Gene Ontology (GO)]],4,FALSE),IF(C211="NA","NA",IF(_xlpm.x="","NA",_xlpm.x)))</f>
        <v>Growth/differentiation factor 8-like</v>
      </c>
      <c r="F211" s="4" t="str">
        <f>_xlfn.LET(_xlpm.x,VLOOKUP(C211,[1]!Table1[[#All],[Entry]:[Gene Ontology (GO)]],8,FALSE),IF(C211="NA","NA",IF(_xlpm.x="","NA",_xlpm.x)))</f>
        <v>extracellular space [GO:0005615]; cytokine activity [GO:0005125]; growth factor activity [GO:0008083]</v>
      </c>
      <c r="G211" s="3">
        <v>4066.3518787256398</v>
      </c>
      <c r="H211" s="3">
        <v>-0.393016998709385</v>
      </c>
      <c r="I211" s="3">
        <v>0.35429887242846902</v>
      </c>
      <c r="J211" s="2">
        <v>7.6475825064427003E-4</v>
      </c>
      <c r="K211" s="2">
        <v>9.9529304830787396E-2</v>
      </c>
    </row>
    <row r="212" spans="1:11" ht="30" x14ac:dyDescent="0.25">
      <c r="A212" t="s">
        <v>7</v>
      </c>
      <c r="B212" t="s">
        <v>401</v>
      </c>
      <c r="C212" t="s">
        <v>402</v>
      </c>
      <c r="D212" t="str">
        <f>_xlfn.LET(_xlpm.x,VLOOKUP(C212,[1]!Table1[[#All],[Entry]:[Gene Ontology (GO)]],5,FALSE),IF(C212="NA","NA",IF(_xlpm.x="","NA",_xlpm.x)))</f>
        <v>LOC116293963</v>
      </c>
      <c r="E212" s="4" t="str">
        <f>_xlfn.LET(_xlpm.x,VLOOKUP(C212,[1]!Table1[[#All],[Entry]:[Gene Ontology (GO)]],4,FALSE),IF(C212="NA","NA",IF(_xlpm.x="","NA",_xlpm.x)))</f>
        <v>Uncharacterized protein YMR196W-like isoform X1</v>
      </c>
      <c r="F212" s="4" t="str">
        <f>_xlfn.LET(_xlpm.x,VLOOKUP(C212,[1]!Table1[[#All],[Entry]:[Gene Ontology (GO)]],8,FALSE),IF(C212="NA","NA",IF(_xlpm.x="","NA",_xlpm.x)))</f>
        <v>Glc3Man9GlcNAc2 oligosaccharide glucosidase activity [GO:0004573]; oligosaccharide metabolic process [GO:0009311]</v>
      </c>
      <c r="G212" s="3">
        <v>298.04603713844898</v>
      </c>
      <c r="H212" s="3">
        <v>-0.32576120832535899</v>
      </c>
      <c r="I212" s="3">
        <v>0.29220816679560502</v>
      </c>
      <c r="J212" s="2">
        <v>7.4732017235656304E-4</v>
      </c>
      <c r="K212" s="2">
        <v>9.9529304830787396E-2</v>
      </c>
    </row>
    <row r="213" spans="1:11" ht="45" x14ac:dyDescent="0.25">
      <c r="A213" t="s">
        <v>403</v>
      </c>
      <c r="B213" t="s">
        <v>404</v>
      </c>
      <c r="C213" t="s">
        <v>405</v>
      </c>
      <c r="D213" t="str">
        <f>_xlfn.LET(_xlpm.x,VLOOKUP(C213,[1]!Table1[[#All],[Entry]:[Gene Ontology (GO)]],5,FALSE),IF(C213="NA","NA",IF(_xlpm.x="","NA",_xlpm.x)))</f>
        <v>LOC116289450</v>
      </c>
      <c r="E213" s="4" t="str">
        <f>_xlfn.LET(_xlpm.x,VLOOKUP(C213,[1]!Table1[[#All],[Entry]:[Gene Ontology (GO)]],4,FALSE),IF(C213="NA","NA",IF(_xlpm.x="","NA",_xlpm.x)))</f>
        <v>Nascent polypeptide-associated complex subunit alpha, muscle-specific form-like isoform X1</v>
      </c>
      <c r="F213" s="4" t="str">
        <f>_xlfn.LET(_xlpm.x,VLOOKUP(C213,[1]!Table1[[#All],[Entry]:[Gene Ontology (GO)]],8,FALSE),IF(C213="NA","NA",IF(_xlpm.x="","NA",_xlpm.x)))</f>
        <v>NA</v>
      </c>
      <c r="G213" s="3">
        <v>116.702846059359</v>
      </c>
      <c r="H213" s="3">
        <v>19.218977297069902</v>
      </c>
      <c r="I213" s="3">
        <v>3.0607107382965402</v>
      </c>
      <c r="J213" s="2">
        <v>1.3711040239449401E-10</v>
      </c>
      <c r="K213" s="2">
        <v>4.0123988156724903E-6</v>
      </c>
    </row>
    <row r="214" spans="1:11" x14ac:dyDescent="0.25">
      <c r="A214" t="s">
        <v>403</v>
      </c>
      <c r="B214" t="s">
        <v>406</v>
      </c>
      <c r="C214" t="s">
        <v>407</v>
      </c>
      <c r="D214" t="str">
        <f>_xlfn.LET(_xlpm.x,VLOOKUP(C214,[1]!Table1[[#All],[Entry]:[Gene Ontology (GO)]],5,FALSE),IF(C214="NA","NA",IF(_xlpm.x="","NA",_xlpm.x)))</f>
        <v>LOC116292262</v>
      </c>
      <c r="E214" s="4" t="str">
        <f>_xlfn.LET(_xlpm.x,VLOOKUP(C214,[1]!Table1[[#All],[Entry]:[Gene Ontology (GO)]],4,FALSE),IF(C214="NA","NA",IF(_xlpm.x="","NA",_xlpm.x)))</f>
        <v>5'-3' exoribonuclease 2-like isoform X1</v>
      </c>
      <c r="F214" s="4" t="str">
        <f>_xlfn.LET(_xlpm.x,VLOOKUP(C214,[1]!Table1[[#All],[Entry]:[Gene Ontology (GO)]],8,FALSE),IF(C214="NA","NA",IF(_xlpm.x="","NA",_xlpm.x)))</f>
        <v>NA</v>
      </c>
      <c r="G214" s="3">
        <v>79.510497685257704</v>
      </c>
      <c r="H214" s="3">
        <v>1.9434775744596999</v>
      </c>
      <c r="I214" s="3">
        <v>0.52058444422315397</v>
      </c>
      <c r="J214" s="2">
        <v>2.4055641326633102E-7</v>
      </c>
      <c r="K214" s="2">
        <v>3.5198214389129501E-3</v>
      </c>
    </row>
    <row r="215" spans="1:11" ht="30" x14ac:dyDescent="0.25">
      <c r="A215" t="s">
        <v>403</v>
      </c>
      <c r="B215" t="s">
        <v>408</v>
      </c>
      <c r="C215" t="s">
        <v>409</v>
      </c>
      <c r="D215" t="str">
        <f>_xlfn.LET(_xlpm.x,VLOOKUP(C215,[1]!Table1[[#All],[Entry]:[Gene Ontology (GO)]],5,FALSE),IF(C215="NA","NA",IF(_xlpm.x="","NA",_xlpm.x)))</f>
        <v>NEMVEDRAFT_v1g80429</v>
      </c>
      <c r="E215" s="4" t="str">
        <f>_xlfn.LET(_xlpm.x,VLOOKUP(C215,[1]!Table1[[#All],[Entry]:[Gene Ontology (GO)]],4,FALSE),IF(C215="NA","NA",IF(_xlpm.x="","NA",_xlpm.x)))</f>
        <v>G-protein coupled receptors family 1 profile domain-containing protein</v>
      </c>
      <c r="F215" s="4" t="str">
        <f>_xlfn.LET(_xlpm.x,VLOOKUP(C215,[1]!Table1[[#All],[Entry]:[Gene Ontology (GO)]],8,FALSE),IF(C215="NA","NA",IF(_xlpm.x="","NA",_xlpm.x)))</f>
        <v>plasma membrane [GO:0005886]; G protein-coupled peptide receptor activity [GO:0008528]; protein-hormone receptor activity [GO:0016500]; adenylate cyclase-activating G protein-coupled receptor signaling pathway [GO:0007189]; hormone-mediated signaling pathway [GO:0009755]</v>
      </c>
      <c r="G215" s="3">
        <v>24.534874676861499</v>
      </c>
      <c r="H215" s="3">
        <v>2.7039871227682002</v>
      </c>
      <c r="I215" s="3">
        <v>0.99089408598859696</v>
      </c>
      <c r="J215" s="2">
        <v>4.1241921682120802E-7</v>
      </c>
      <c r="K215" s="2">
        <v>4.02301198701861E-3</v>
      </c>
    </row>
    <row r="216" spans="1:11" x14ac:dyDescent="0.25">
      <c r="A216" t="s">
        <v>403</v>
      </c>
      <c r="B216" t="s">
        <v>410</v>
      </c>
      <c r="C216" t="s">
        <v>411</v>
      </c>
      <c r="D216" t="str">
        <f>_xlfn.LET(_xlpm.x,VLOOKUP(C216,[1]!Table1[[#All],[Entry]:[Gene Ontology (GO)]],5,FALSE),IF(C216="NA","NA",IF(_xlpm.x="","NA",_xlpm.x)))</f>
        <v>LOC116299776</v>
      </c>
      <c r="E216" s="4" t="str">
        <f>_xlfn.LET(_xlpm.x,VLOOKUP(C216,[1]!Table1[[#All],[Entry]:[Gene Ontology (GO)]],4,FALSE),IF(C216="NA","NA",IF(_xlpm.x="","NA",_xlpm.x)))</f>
        <v>Fibropellin-1-like</v>
      </c>
      <c r="F216" s="4" t="str">
        <f>_xlfn.LET(_xlpm.x,VLOOKUP(C216,[1]!Table1[[#All],[Entry]:[Gene Ontology (GO)]],8,FALSE),IF(C216="NA","NA",IF(_xlpm.x="","NA",_xlpm.x)))</f>
        <v>cell periphery [GO:0071944]; membrane [GO:0016020]; plasma membrane bounded cell projection [GO:0120025]; calcium ion binding [GO:0005509]; nervous system development [GO:0007399]</v>
      </c>
      <c r="G216" s="3">
        <v>122.420021998123</v>
      </c>
      <c r="H216" s="3">
        <v>1.3375392434892499</v>
      </c>
      <c r="I216" s="3">
        <v>0.82227868827662298</v>
      </c>
      <c r="J216" s="2">
        <v>3.10350681213818E-6</v>
      </c>
      <c r="K216" s="2">
        <v>2.2705255837602901E-2</v>
      </c>
    </row>
    <row r="217" spans="1:11" x14ac:dyDescent="0.25">
      <c r="A217" t="s">
        <v>403</v>
      </c>
      <c r="B217" t="s">
        <v>412</v>
      </c>
      <c r="C217" t="s">
        <v>413</v>
      </c>
      <c r="D217" t="str">
        <f>_xlfn.LET(_xlpm.x,VLOOKUP(C217,[1]!Table1[[#All],[Entry]:[Gene Ontology (GO)]],5,FALSE),IF(C217="NA","NA",IF(_xlpm.x="","NA",_xlpm.x)))</f>
        <v>LOC116307612</v>
      </c>
      <c r="E217" s="4" t="str">
        <f>_xlfn.LET(_xlpm.x,VLOOKUP(C217,[1]!Table1[[#All],[Entry]:[Gene Ontology (GO)]],4,FALSE),IF(C217="NA","NA",IF(_xlpm.x="","NA",_xlpm.x)))</f>
        <v>Collagen alpha-1(II) chain-like</v>
      </c>
      <c r="F217" s="4" t="str">
        <f>_xlfn.LET(_xlpm.x,VLOOKUP(C217,[1]!Table1[[#All],[Entry]:[Gene Ontology (GO)]],8,FALSE),IF(C217="NA","NA",IF(_xlpm.x="","NA",_xlpm.x)))</f>
        <v>NA</v>
      </c>
      <c r="G217" s="3">
        <v>81.713106248814299</v>
      </c>
      <c r="H217" s="3">
        <v>1.4516768952058099</v>
      </c>
      <c r="I217" s="3">
        <v>1.2472523786724301</v>
      </c>
      <c r="J217" s="2">
        <v>5.5590788035179303E-6</v>
      </c>
      <c r="K217" s="2">
        <v>2.7113480351024798E-2</v>
      </c>
    </row>
    <row r="218" spans="1:11" x14ac:dyDescent="0.25">
      <c r="A218" t="s">
        <v>403</v>
      </c>
      <c r="B218" t="s">
        <v>414</v>
      </c>
      <c r="C218" t="s">
        <v>415</v>
      </c>
      <c r="D218" t="str">
        <f>_xlfn.LET(_xlpm.x,VLOOKUP(C218,[1]!Table1[[#All],[Entry]:[Gene Ontology (GO)]],5,FALSE),IF(C218="NA","NA",IF(_xlpm.x="","NA",_xlpm.x)))</f>
        <v>LOC116287090</v>
      </c>
      <c r="E218" s="4" t="str">
        <f>_xlfn.LET(_xlpm.x,VLOOKUP(C218,[1]!Table1[[#All],[Entry]:[Gene Ontology (GO)]],4,FALSE),IF(C218="NA","NA",IF(_xlpm.x="","NA",_xlpm.x)))</f>
        <v>Uncharacterized protein LOC116287090</v>
      </c>
      <c r="F218" s="4" t="str">
        <f>_xlfn.LET(_xlpm.x,VLOOKUP(C218,[1]!Table1[[#All],[Entry]:[Gene Ontology (GO)]],8,FALSE),IF(C218="NA","NA",IF(_xlpm.x="","NA",_xlpm.x)))</f>
        <v>NA</v>
      </c>
      <c r="G218" s="3">
        <v>173.16033082397999</v>
      </c>
      <c r="H218" s="3">
        <v>0.87283862543190105</v>
      </c>
      <c r="I218" s="3">
        <v>0.67343398271669397</v>
      </c>
      <c r="J218" s="2">
        <v>5.1205143411774303E-6</v>
      </c>
      <c r="K218" s="2">
        <v>2.7113480351024798E-2</v>
      </c>
    </row>
    <row r="219" spans="1:11" ht="30" x14ac:dyDescent="0.25">
      <c r="A219" t="s">
        <v>403</v>
      </c>
      <c r="B219" t="s">
        <v>416</v>
      </c>
      <c r="C219" t="s">
        <v>417</v>
      </c>
      <c r="D219" t="str">
        <f>_xlfn.LET(_xlpm.x,VLOOKUP(C219,[1]!Table1[[#All],[Entry]:[Gene Ontology (GO)]],5,FALSE),IF(C219="NA","NA",IF(_xlpm.x="","NA",_xlpm.x)))</f>
        <v>LOC116292262</v>
      </c>
      <c r="E219" s="4" t="str">
        <f>_xlfn.LET(_xlpm.x,VLOOKUP(C219,[1]!Table1[[#All],[Entry]:[Gene Ontology (GO)]],4,FALSE),IF(C219="NA","NA",IF(_xlpm.x="","NA",_xlpm.x)))</f>
        <v>Uncharacterized protein LOC116292262 isoform X3</v>
      </c>
      <c r="F219" s="4" t="str">
        <f>_xlfn.LET(_xlpm.x,VLOOKUP(C219,[1]!Table1[[#All],[Entry]:[Gene Ontology (GO)]],8,FALSE),IF(C219="NA","NA",IF(_xlpm.x="","NA",_xlpm.x)))</f>
        <v>NA</v>
      </c>
      <c r="G219" s="3">
        <v>390.30102152038103</v>
      </c>
      <c r="H219" s="3">
        <v>0.830171541309914</v>
      </c>
      <c r="I219" s="3">
        <v>0.85449790756939603</v>
      </c>
      <c r="J219" s="2">
        <v>1.05502275190046E-5</v>
      </c>
      <c r="K219" s="2">
        <v>3.9639544958100001E-2</v>
      </c>
    </row>
    <row r="220" spans="1:11" x14ac:dyDescent="0.25">
      <c r="A220" t="s">
        <v>403</v>
      </c>
      <c r="B220" t="s">
        <v>418</v>
      </c>
      <c r="C220" t="s">
        <v>419</v>
      </c>
      <c r="D220" t="str">
        <f>_xlfn.LET(_xlpm.x,VLOOKUP(C220,[1]!Table1[[#All],[Entry]:[Gene Ontology (GO)]],5,FALSE),IF(C220="NA","NA",IF(_xlpm.x="","NA",_xlpm.x)))</f>
        <v>LOC116308546</v>
      </c>
      <c r="E220" s="4" t="str">
        <f>_xlfn.LET(_xlpm.x,VLOOKUP(C220,[1]!Table1[[#All],[Entry]:[Gene Ontology (GO)]],4,FALSE),IF(C220="NA","NA",IF(_xlpm.x="","NA",_xlpm.x)))</f>
        <v>Uncharacterized protein LOC116308546</v>
      </c>
      <c r="F220" s="4" t="str">
        <f>_xlfn.LET(_xlpm.x,VLOOKUP(C220,[1]!Table1[[#All],[Entry]:[Gene Ontology (GO)]],8,FALSE),IF(C220="NA","NA",IF(_xlpm.x="","NA",_xlpm.x)))</f>
        <v>NA</v>
      </c>
      <c r="G220" s="3">
        <v>547.97129018067199</v>
      </c>
      <c r="H220" s="3">
        <v>0.81354063655020403</v>
      </c>
      <c r="I220" s="3">
        <v>0.84733954473186002</v>
      </c>
      <c r="J220" s="2">
        <v>1.08363982936304E-5</v>
      </c>
      <c r="K220" s="2">
        <v>3.9639544958100001E-2</v>
      </c>
    </row>
    <row r="221" spans="1:11" x14ac:dyDescent="0.25">
      <c r="A221" t="s">
        <v>403</v>
      </c>
      <c r="B221" t="s">
        <v>420</v>
      </c>
      <c r="C221" t="s">
        <v>421</v>
      </c>
      <c r="D221" t="str">
        <f>_xlfn.LET(_xlpm.x,VLOOKUP(C221,[1]!Table1[[#All],[Entry]:[Gene Ontology (GO)]],5,FALSE),IF(C221="NA","NA",IF(_xlpm.x="","NA",_xlpm.x)))</f>
        <v>LOC116294676</v>
      </c>
      <c r="E221" s="4" t="str">
        <f>_xlfn.LET(_xlpm.x,VLOOKUP(C221,[1]!Table1[[#All],[Entry]:[Gene Ontology (GO)]],4,FALSE),IF(C221="NA","NA",IF(_xlpm.x="","NA",_xlpm.x)))</f>
        <v>Uncharacterized protein LOC116294676</v>
      </c>
      <c r="F221" s="4" t="str">
        <f>_xlfn.LET(_xlpm.x,VLOOKUP(C221,[1]!Table1[[#All],[Entry]:[Gene Ontology (GO)]],8,FALSE),IF(C221="NA","NA",IF(_xlpm.x="","NA",_xlpm.x)))</f>
        <v>NA</v>
      </c>
      <c r="G221" s="3">
        <v>27.9129211849943</v>
      </c>
      <c r="H221" s="3">
        <v>0.72369754817179199</v>
      </c>
      <c r="I221" s="3">
        <v>0.91355399885087496</v>
      </c>
      <c r="J221" s="2">
        <v>1.6744343753338499E-5</v>
      </c>
      <c r="K221" s="2">
        <v>5.4445163955299698E-2</v>
      </c>
    </row>
    <row r="222" spans="1:11" x14ac:dyDescent="0.25">
      <c r="A222" t="s">
        <v>403</v>
      </c>
      <c r="B222" t="s">
        <v>422</v>
      </c>
      <c r="C222" t="s">
        <v>423</v>
      </c>
      <c r="D222" t="str">
        <f>_xlfn.LET(_xlpm.x,VLOOKUP(C222,[1]!Table1[[#All],[Entry]:[Gene Ontology (GO)]],5,FALSE),IF(C222="NA","NA",IF(_xlpm.x="","NA",_xlpm.x)))</f>
        <v>PACLA_8A079117</v>
      </c>
      <c r="E222" s="4" t="str">
        <f>_xlfn.LET(_xlpm.x,VLOOKUP(C222,[1]!Table1[[#All],[Entry]:[Gene Ontology (GO)]],4,FALSE),IF(C222="NA","NA",IF(_xlpm.x="","NA",_xlpm.x)))</f>
        <v>Uncharacterized protein</v>
      </c>
      <c r="F222" s="4" t="str">
        <f>_xlfn.LET(_xlpm.x,VLOOKUP(C222,[1]!Table1[[#All],[Entry]:[Gene Ontology (GO)]],8,FALSE),IF(C222="NA","NA",IF(_xlpm.x="","NA",_xlpm.x)))</f>
        <v>NA</v>
      </c>
      <c r="G222" s="3">
        <v>163.23935430103401</v>
      </c>
      <c r="H222" s="3">
        <v>0.748758779142224</v>
      </c>
      <c r="I222" s="3">
        <v>1.0233922863496201</v>
      </c>
      <c r="J222" s="2">
        <v>1.9013790412321199E-5</v>
      </c>
      <c r="K222" s="2">
        <v>5.5641956262616803E-2</v>
      </c>
    </row>
    <row r="223" spans="1:11" x14ac:dyDescent="0.25">
      <c r="A223" t="s">
        <v>403</v>
      </c>
      <c r="B223" t="s">
        <v>424</v>
      </c>
      <c r="C223" t="s">
        <v>425</v>
      </c>
      <c r="D223" t="str">
        <f>_xlfn.LET(_xlpm.x,VLOOKUP(C223,[1]!Table1[[#All],[Entry]:[Gene Ontology (GO)]],5,FALSE),IF(C223="NA","NA",IF(_xlpm.x="","NA",_xlpm.x)))</f>
        <v>NA</v>
      </c>
      <c r="E223" s="4" t="str">
        <f>_xlfn.LET(_xlpm.x,VLOOKUP(C223,[1]!Table1[[#All],[Entry]:[Gene Ontology (GO)]],4,FALSE),IF(C223="NA","NA",IF(_xlpm.x="","NA",_xlpm.x)))</f>
        <v>SCP domain-containing protein</v>
      </c>
      <c r="F223" s="4" t="str">
        <f>_xlfn.LET(_xlpm.x,VLOOKUP(C223,[1]!Table1[[#All],[Entry]:[Gene Ontology (GO)]],8,FALSE),IF(C223="NA","NA",IF(_xlpm.x="","NA",_xlpm.x)))</f>
        <v>extracellular region [GO:0005576]</v>
      </c>
      <c r="G223" s="3">
        <v>42.156485071802599</v>
      </c>
      <c r="H223" s="3">
        <v>0.48377405293348302</v>
      </c>
      <c r="I223" s="3">
        <v>1.0247968664574001</v>
      </c>
      <c r="J223" s="2">
        <v>3.9945296739217601E-5</v>
      </c>
      <c r="K223" s="2">
        <v>9.7413263648038498E-2</v>
      </c>
    </row>
    <row r="224" spans="1:11" x14ac:dyDescent="0.25">
      <c r="A224" t="s">
        <v>403</v>
      </c>
      <c r="B224" t="s">
        <v>426</v>
      </c>
      <c r="C224" t="s">
        <v>427</v>
      </c>
      <c r="D224" t="str">
        <f>_xlfn.LET(_xlpm.x,VLOOKUP(C224,[1]!Table1[[#All],[Entry]:[Gene Ontology (GO)]],5,FALSE),IF(C224="NA","NA",IF(_xlpm.x="","NA",_xlpm.x)))</f>
        <v>LOC116299426</v>
      </c>
      <c r="E224" s="4" t="str">
        <f>_xlfn.LET(_xlpm.x,VLOOKUP(C224,[1]!Table1[[#All],[Entry]:[Gene Ontology (GO)]],4,FALSE),IF(C224="NA","NA",IF(_xlpm.x="","NA",_xlpm.x)))</f>
        <v>E3 ubiquitin-protein ligase TRIM71-like</v>
      </c>
      <c r="F224" s="4" t="str">
        <f>_xlfn.LET(_xlpm.x,VLOOKUP(C224,[1]!Table1[[#All],[Entry]:[Gene Ontology (GO)]],8,FALSE),IF(C224="NA","NA",IF(_xlpm.x="","NA",_xlpm.x)))</f>
        <v>zinc ion binding [GO:0008270]</v>
      </c>
      <c r="G224" s="3">
        <v>35.556449571547098</v>
      </c>
      <c r="H224" s="3">
        <v>0.463210903146694</v>
      </c>
      <c r="I224" s="3">
        <v>0.85801382466044596</v>
      </c>
      <c r="J224" s="2">
        <v>3.8866183005910797E-5</v>
      </c>
      <c r="K224" s="2">
        <v>9.7413263648038498E-2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F590D3-0507-4E75-AB3C-67F0D0590368}">
  <dimension ref="A1:H196"/>
  <sheetViews>
    <sheetView workbookViewId="0">
      <selection activeCell="K19" sqref="K19"/>
    </sheetView>
  </sheetViews>
  <sheetFormatPr defaultRowHeight="15" x14ac:dyDescent="0.25"/>
  <cols>
    <col min="3" max="3" width="12" customWidth="1"/>
    <col min="4" max="4" width="13.5703125" customWidth="1"/>
    <col min="5" max="5" width="16.140625" customWidth="1"/>
    <col min="6" max="6" width="14.7109375" customWidth="1"/>
    <col min="7" max="7" width="11.7109375" customWidth="1"/>
    <col min="8" max="8" width="9.28515625" customWidth="1"/>
  </cols>
  <sheetData>
    <row r="1" spans="1:8" x14ac:dyDescent="0.25">
      <c r="A1" t="s">
        <v>428</v>
      </c>
      <c r="B1" t="s">
        <v>429</v>
      </c>
      <c r="C1" t="s">
        <v>430</v>
      </c>
      <c r="D1" t="s">
        <v>431</v>
      </c>
      <c r="E1" t="s">
        <v>432</v>
      </c>
      <c r="F1" t="s">
        <v>433</v>
      </c>
      <c r="G1" t="s">
        <v>434</v>
      </c>
      <c r="H1" t="s">
        <v>435</v>
      </c>
    </row>
    <row r="2" spans="1:8" x14ac:dyDescent="0.25">
      <c r="A2" t="s">
        <v>9</v>
      </c>
      <c r="B2" t="s">
        <v>9</v>
      </c>
      <c r="C2" t="s">
        <v>436</v>
      </c>
      <c r="D2" t="s">
        <v>437</v>
      </c>
      <c r="E2" t="s">
        <v>438</v>
      </c>
      <c r="F2" t="s">
        <v>439</v>
      </c>
      <c r="G2" t="s">
        <v>440</v>
      </c>
      <c r="H2" t="s">
        <v>441</v>
      </c>
    </row>
    <row r="3" spans="1:8" x14ac:dyDescent="0.25">
      <c r="A3" t="s">
        <v>12</v>
      </c>
      <c r="B3" t="s">
        <v>12</v>
      </c>
      <c r="C3" t="s">
        <v>436</v>
      </c>
      <c r="D3" t="s">
        <v>442</v>
      </c>
      <c r="E3" t="s">
        <v>443</v>
      </c>
      <c r="F3" t="s">
        <v>444</v>
      </c>
      <c r="G3" t="s">
        <v>440</v>
      </c>
      <c r="H3" t="s">
        <v>445</v>
      </c>
    </row>
    <row r="4" spans="1:8" x14ac:dyDescent="0.25">
      <c r="A4" t="s">
        <v>14</v>
      </c>
      <c r="B4" t="s">
        <v>14</v>
      </c>
      <c r="C4" t="s">
        <v>436</v>
      </c>
      <c r="D4" t="s">
        <v>446</v>
      </c>
      <c r="E4" t="s">
        <v>447</v>
      </c>
      <c r="F4" t="s">
        <v>448</v>
      </c>
      <c r="G4" t="s">
        <v>440</v>
      </c>
      <c r="H4" t="s">
        <v>449</v>
      </c>
    </row>
    <row r="5" spans="1:8" x14ac:dyDescent="0.25">
      <c r="A5" t="s">
        <v>16</v>
      </c>
      <c r="B5" t="s">
        <v>16</v>
      </c>
      <c r="C5" t="s">
        <v>436</v>
      </c>
      <c r="D5" t="s">
        <v>450</v>
      </c>
      <c r="E5" t="s">
        <v>451</v>
      </c>
      <c r="F5" t="s">
        <v>452</v>
      </c>
      <c r="G5" t="s">
        <v>440</v>
      </c>
      <c r="H5" t="s">
        <v>453</v>
      </c>
    </row>
    <row r="6" spans="1:8" x14ac:dyDescent="0.25">
      <c r="A6" t="s">
        <v>18</v>
      </c>
      <c r="B6" t="s">
        <v>18</v>
      </c>
      <c r="C6" t="s">
        <v>436</v>
      </c>
      <c r="D6" t="s">
        <v>454</v>
      </c>
      <c r="E6" t="s">
        <v>455</v>
      </c>
      <c r="F6" t="s">
        <v>456</v>
      </c>
      <c r="G6" t="s">
        <v>440</v>
      </c>
      <c r="H6" t="s">
        <v>457</v>
      </c>
    </row>
    <row r="7" spans="1:8" x14ac:dyDescent="0.25">
      <c r="A7" t="s">
        <v>20</v>
      </c>
      <c r="B7" t="s">
        <v>20</v>
      </c>
      <c r="C7" t="s">
        <v>436</v>
      </c>
      <c r="D7" t="s">
        <v>458</v>
      </c>
      <c r="E7" t="s">
        <v>459</v>
      </c>
      <c r="F7" t="s">
        <v>460</v>
      </c>
      <c r="G7" t="s">
        <v>461</v>
      </c>
      <c r="H7" t="s">
        <v>462</v>
      </c>
    </row>
    <row r="8" spans="1:8" x14ac:dyDescent="0.25">
      <c r="A8" t="s">
        <v>22</v>
      </c>
      <c r="B8" t="s">
        <v>22</v>
      </c>
      <c r="C8" t="s">
        <v>436</v>
      </c>
      <c r="D8" t="s">
        <v>463</v>
      </c>
      <c r="E8" t="s">
        <v>464</v>
      </c>
      <c r="F8" t="s">
        <v>460</v>
      </c>
      <c r="G8" t="s">
        <v>440</v>
      </c>
      <c r="H8" t="s">
        <v>465</v>
      </c>
    </row>
    <row r="9" spans="1:8" x14ac:dyDescent="0.25">
      <c r="A9" t="s">
        <v>24</v>
      </c>
      <c r="B9" t="s">
        <v>24</v>
      </c>
      <c r="C9" t="s">
        <v>436</v>
      </c>
      <c r="D9" t="s">
        <v>466</v>
      </c>
      <c r="E9" t="s">
        <v>467</v>
      </c>
      <c r="F9" t="s">
        <v>468</v>
      </c>
      <c r="G9" t="s">
        <v>440</v>
      </c>
      <c r="H9" t="s">
        <v>469</v>
      </c>
    </row>
    <row r="10" spans="1:8" x14ac:dyDescent="0.25">
      <c r="A10" t="s">
        <v>26</v>
      </c>
      <c r="B10" t="s">
        <v>26</v>
      </c>
      <c r="C10" t="s">
        <v>436</v>
      </c>
      <c r="D10" t="s">
        <v>470</v>
      </c>
      <c r="E10" t="s">
        <v>471</v>
      </c>
      <c r="F10" t="s">
        <v>472</v>
      </c>
      <c r="G10" t="s">
        <v>440</v>
      </c>
      <c r="H10" t="s">
        <v>473</v>
      </c>
    </row>
    <row r="11" spans="1:8" x14ac:dyDescent="0.25">
      <c r="A11" t="s">
        <v>28</v>
      </c>
      <c r="B11" t="s">
        <v>28</v>
      </c>
      <c r="C11" t="s">
        <v>436</v>
      </c>
      <c r="D11" t="s">
        <v>474</v>
      </c>
      <c r="E11" t="s">
        <v>475</v>
      </c>
      <c r="F11" t="s">
        <v>476</v>
      </c>
      <c r="G11" t="s">
        <v>440</v>
      </c>
      <c r="H11" t="s">
        <v>477</v>
      </c>
    </row>
    <row r="12" spans="1:8" x14ac:dyDescent="0.25">
      <c r="A12" t="s">
        <v>30</v>
      </c>
      <c r="B12" t="s">
        <v>30</v>
      </c>
      <c r="C12" t="s">
        <v>436</v>
      </c>
      <c r="D12" t="s">
        <v>478</v>
      </c>
      <c r="E12" t="s">
        <v>479</v>
      </c>
      <c r="F12" t="s">
        <v>480</v>
      </c>
      <c r="G12" t="s">
        <v>440</v>
      </c>
      <c r="H12" t="s">
        <v>481</v>
      </c>
    </row>
    <row r="13" spans="1:8" x14ac:dyDescent="0.25">
      <c r="A13" t="s">
        <v>32</v>
      </c>
      <c r="B13" t="s">
        <v>32</v>
      </c>
      <c r="C13" t="s">
        <v>436</v>
      </c>
      <c r="D13" t="s">
        <v>482</v>
      </c>
      <c r="E13" t="s">
        <v>483</v>
      </c>
      <c r="F13" t="s">
        <v>484</v>
      </c>
      <c r="G13" t="s">
        <v>440</v>
      </c>
      <c r="H13" t="s">
        <v>485</v>
      </c>
    </row>
    <row r="14" spans="1:8" x14ac:dyDescent="0.25">
      <c r="A14" t="s">
        <v>34</v>
      </c>
      <c r="B14" t="s">
        <v>34</v>
      </c>
      <c r="C14" t="s">
        <v>436</v>
      </c>
      <c r="D14" t="s">
        <v>486</v>
      </c>
      <c r="E14" t="s">
        <v>487</v>
      </c>
      <c r="F14" t="s">
        <v>488</v>
      </c>
      <c r="G14" t="s">
        <v>440</v>
      </c>
      <c r="H14" t="s">
        <v>489</v>
      </c>
    </row>
    <row r="15" spans="1:8" x14ac:dyDescent="0.25">
      <c r="A15" t="s">
        <v>36</v>
      </c>
      <c r="B15" t="s">
        <v>36</v>
      </c>
      <c r="C15" t="s">
        <v>436</v>
      </c>
      <c r="D15" t="s">
        <v>490</v>
      </c>
      <c r="E15" t="s">
        <v>491</v>
      </c>
      <c r="F15" t="s">
        <v>492</v>
      </c>
      <c r="G15" t="s">
        <v>440</v>
      </c>
      <c r="H15" t="s">
        <v>493</v>
      </c>
    </row>
    <row r="16" spans="1:8" x14ac:dyDescent="0.25">
      <c r="A16" t="s">
        <v>38</v>
      </c>
      <c r="B16" t="s">
        <v>38</v>
      </c>
      <c r="C16" t="s">
        <v>436</v>
      </c>
      <c r="D16" t="s">
        <v>494</v>
      </c>
      <c r="E16" t="s">
        <v>495</v>
      </c>
      <c r="F16" t="s">
        <v>460</v>
      </c>
      <c r="G16" t="s">
        <v>461</v>
      </c>
      <c r="H16" t="s">
        <v>496</v>
      </c>
    </row>
    <row r="17" spans="1:8" x14ac:dyDescent="0.25">
      <c r="A17" t="s">
        <v>40</v>
      </c>
      <c r="B17" t="s">
        <v>40</v>
      </c>
      <c r="C17" t="s">
        <v>436</v>
      </c>
      <c r="D17" t="s">
        <v>497</v>
      </c>
      <c r="E17" t="s">
        <v>498</v>
      </c>
      <c r="F17" t="s">
        <v>499</v>
      </c>
      <c r="G17" t="s">
        <v>440</v>
      </c>
      <c r="H17" t="s">
        <v>477</v>
      </c>
    </row>
    <row r="18" spans="1:8" x14ac:dyDescent="0.25">
      <c r="A18" t="s">
        <v>42</v>
      </c>
      <c r="B18" t="s">
        <v>42</v>
      </c>
      <c r="C18" t="s">
        <v>436</v>
      </c>
      <c r="D18" t="s">
        <v>500</v>
      </c>
      <c r="E18" t="s">
        <v>501</v>
      </c>
      <c r="F18" t="s">
        <v>502</v>
      </c>
      <c r="G18" t="s">
        <v>440</v>
      </c>
      <c r="H18" t="s">
        <v>503</v>
      </c>
    </row>
    <row r="19" spans="1:8" x14ac:dyDescent="0.25">
      <c r="A19" t="s">
        <v>45</v>
      </c>
      <c r="B19" t="s">
        <v>45</v>
      </c>
      <c r="C19" t="s">
        <v>436</v>
      </c>
      <c r="D19" t="s">
        <v>504</v>
      </c>
      <c r="E19" t="s">
        <v>505</v>
      </c>
      <c r="F19" t="s">
        <v>506</v>
      </c>
      <c r="G19" t="s">
        <v>440</v>
      </c>
      <c r="H19" t="s">
        <v>449</v>
      </c>
    </row>
    <row r="20" spans="1:8" x14ac:dyDescent="0.25">
      <c r="A20" t="s">
        <v>47</v>
      </c>
      <c r="B20" t="s">
        <v>47</v>
      </c>
      <c r="C20" t="s">
        <v>436</v>
      </c>
      <c r="D20" t="s">
        <v>507</v>
      </c>
      <c r="E20" t="s">
        <v>508</v>
      </c>
      <c r="F20" t="s">
        <v>509</v>
      </c>
      <c r="G20" t="s">
        <v>440</v>
      </c>
      <c r="H20" t="s">
        <v>510</v>
      </c>
    </row>
    <row r="21" spans="1:8" x14ac:dyDescent="0.25">
      <c r="A21" t="s">
        <v>49</v>
      </c>
      <c r="B21" t="s">
        <v>49</v>
      </c>
      <c r="C21" t="s">
        <v>436</v>
      </c>
      <c r="D21" t="s">
        <v>511</v>
      </c>
      <c r="E21" t="s">
        <v>512</v>
      </c>
      <c r="F21" t="s">
        <v>513</v>
      </c>
      <c r="G21" t="s">
        <v>440</v>
      </c>
      <c r="H21" t="s">
        <v>514</v>
      </c>
    </row>
    <row r="22" spans="1:8" x14ac:dyDescent="0.25">
      <c r="A22" t="s">
        <v>51</v>
      </c>
      <c r="B22" t="s">
        <v>51</v>
      </c>
      <c r="C22" t="s">
        <v>436</v>
      </c>
      <c r="D22" t="s">
        <v>515</v>
      </c>
      <c r="E22" t="s">
        <v>516</v>
      </c>
      <c r="F22" t="s">
        <v>517</v>
      </c>
      <c r="G22" t="s">
        <v>440</v>
      </c>
      <c r="H22" t="s">
        <v>518</v>
      </c>
    </row>
    <row r="23" spans="1:8" x14ac:dyDescent="0.25">
      <c r="A23" t="s">
        <v>53</v>
      </c>
      <c r="B23" t="s">
        <v>53</v>
      </c>
      <c r="C23" t="s">
        <v>436</v>
      </c>
      <c r="D23" t="s">
        <v>519</v>
      </c>
      <c r="E23" t="s">
        <v>520</v>
      </c>
      <c r="F23" t="s">
        <v>521</v>
      </c>
      <c r="G23" t="s">
        <v>440</v>
      </c>
      <c r="H23" t="s">
        <v>522</v>
      </c>
    </row>
    <row r="24" spans="1:8" x14ac:dyDescent="0.25">
      <c r="A24" t="s">
        <v>55</v>
      </c>
      <c r="B24" t="s">
        <v>55</v>
      </c>
      <c r="C24" t="s">
        <v>436</v>
      </c>
      <c r="D24" t="s">
        <v>523</v>
      </c>
      <c r="E24" t="s">
        <v>524</v>
      </c>
      <c r="F24" t="s">
        <v>525</v>
      </c>
      <c r="G24" t="s">
        <v>440</v>
      </c>
      <c r="H24" t="s">
        <v>526</v>
      </c>
    </row>
    <row r="25" spans="1:8" x14ac:dyDescent="0.25">
      <c r="A25" t="s">
        <v>57</v>
      </c>
      <c r="B25" t="s">
        <v>57</v>
      </c>
      <c r="C25" t="s">
        <v>436</v>
      </c>
      <c r="D25" t="s">
        <v>527</v>
      </c>
      <c r="E25" t="s">
        <v>528</v>
      </c>
      <c r="F25" t="s">
        <v>529</v>
      </c>
      <c r="G25" t="s">
        <v>440</v>
      </c>
      <c r="H25" t="s">
        <v>530</v>
      </c>
    </row>
    <row r="26" spans="1:8" x14ac:dyDescent="0.25">
      <c r="A26" t="s">
        <v>59</v>
      </c>
      <c r="B26" t="s">
        <v>59</v>
      </c>
      <c r="C26" t="s">
        <v>436</v>
      </c>
      <c r="D26" t="s">
        <v>531</v>
      </c>
      <c r="E26" t="s">
        <v>532</v>
      </c>
      <c r="F26" t="s">
        <v>533</v>
      </c>
      <c r="G26" t="s">
        <v>440</v>
      </c>
      <c r="H26" t="s">
        <v>534</v>
      </c>
    </row>
    <row r="27" spans="1:8" x14ac:dyDescent="0.25">
      <c r="A27" t="s">
        <v>61</v>
      </c>
      <c r="B27" t="s">
        <v>61</v>
      </c>
      <c r="C27" t="s">
        <v>436</v>
      </c>
      <c r="D27" t="s">
        <v>535</v>
      </c>
      <c r="E27" t="s">
        <v>536</v>
      </c>
      <c r="F27" t="s">
        <v>537</v>
      </c>
      <c r="G27" t="s">
        <v>440</v>
      </c>
      <c r="H27" t="s">
        <v>538</v>
      </c>
    </row>
    <row r="28" spans="1:8" x14ac:dyDescent="0.25">
      <c r="A28" t="s">
        <v>63</v>
      </c>
      <c r="B28" t="s">
        <v>63</v>
      </c>
      <c r="C28" t="s">
        <v>436</v>
      </c>
      <c r="D28" t="s">
        <v>539</v>
      </c>
      <c r="E28" t="s">
        <v>540</v>
      </c>
      <c r="F28" t="s">
        <v>541</v>
      </c>
      <c r="G28" t="s">
        <v>440</v>
      </c>
      <c r="H28" t="s">
        <v>542</v>
      </c>
    </row>
    <row r="29" spans="1:8" x14ac:dyDescent="0.25">
      <c r="A29" t="s">
        <v>65</v>
      </c>
      <c r="B29" t="s">
        <v>65</v>
      </c>
      <c r="C29" t="s">
        <v>436</v>
      </c>
      <c r="D29" t="s">
        <v>543</v>
      </c>
      <c r="E29" t="s">
        <v>544</v>
      </c>
      <c r="F29" t="s">
        <v>545</v>
      </c>
      <c r="G29" t="s">
        <v>440</v>
      </c>
      <c r="H29" t="s">
        <v>546</v>
      </c>
    </row>
    <row r="30" spans="1:8" x14ac:dyDescent="0.25">
      <c r="A30" t="s">
        <v>67</v>
      </c>
      <c r="B30" t="s">
        <v>67</v>
      </c>
      <c r="C30" t="s">
        <v>436</v>
      </c>
      <c r="D30" t="s">
        <v>547</v>
      </c>
      <c r="E30" t="s">
        <v>548</v>
      </c>
      <c r="F30" t="s">
        <v>549</v>
      </c>
      <c r="G30" t="s">
        <v>440</v>
      </c>
      <c r="H30" t="s">
        <v>550</v>
      </c>
    </row>
    <row r="31" spans="1:8" x14ac:dyDescent="0.25">
      <c r="A31" t="s">
        <v>69</v>
      </c>
      <c r="B31" t="s">
        <v>69</v>
      </c>
      <c r="C31" t="s">
        <v>436</v>
      </c>
      <c r="D31" t="s">
        <v>551</v>
      </c>
      <c r="E31" t="s">
        <v>552</v>
      </c>
      <c r="F31" t="s">
        <v>553</v>
      </c>
      <c r="G31" t="s">
        <v>440</v>
      </c>
      <c r="H31" t="s">
        <v>554</v>
      </c>
    </row>
    <row r="32" spans="1:8" x14ac:dyDescent="0.25">
      <c r="A32" t="s">
        <v>71</v>
      </c>
      <c r="B32" t="s">
        <v>71</v>
      </c>
      <c r="C32" t="s">
        <v>436</v>
      </c>
      <c r="D32" t="s">
        <v>555</v>
      </c>
      <c r="E32" t="s">
        <v>556</v>
      </c>
      <c r="F32" t="s">
        <v>557</v>
      </c>
      <c r="G32" t="s">
        <v>440</v>
      </c>
      <c r="H32" t="s">
        <v>558</v>
      </c>
    </row>
    <row r="33" spans="1:8" x14ac:dyDescent="0.25">
      <c r="A33" t="s">
        <v>73</v>
      </c>
      <c r="B33" t="s">
        <v>73</v>
      </c>
      <c r="C33" t="s">
        <v>436</v>
      </c>
      <c r="D33" t="s">
        <v>559</v>
      </c>
      <c r="E33" t="s">
        <v>560</v>
      </c>
      <c r="F33" t="s">
        <v>561</v>
      </c>
      <c r="G33" t="s">
        <v>440</v>
      </c>
      <c r="H33" t="s">
        <v>562</v>
      </c>
    </row>
    <row r="34" spans="1:8" x14ac:dyDescent="0.25">
      <c r="A34" t="s">
        <v>75</v>
      </c>
      <c r="B34" t="s">
        <v>75</v>
      </c>
      <c r="C34" t="s">
        <v>436</v>
      </c>
      <c r="D34" t="s">
        <v>563</v>
      </c>
      <c r="E34" t="s">
        <v>564</v>
      </c>
      <c r="F34" t="s">
        <v>565</v>
      </c>
      <c r="G34" t="s">
        <v>440</v>
      </c>
      <c r="H34" t="s">
        <v>566</v>
      </c>
    </row>
    <row r="35" spans="1:8" x14ac:dyDescent="0.25">
      <c r="A35" t="s">
        <v>77</v>
      </c>
      <c r="B35" t="s">
        <v>77</v>
      </c>
      <c r="C35" t="s">
        <v>436</v>
      </c>
      <c r="D35" t="s">
        <v>567</v>
      </c>
      <c r="E35" t="s">
        <v>568</v>
      </c>
      <c r="F35" t="s">
        <v>569</v>
      </c>
      <c r="G35" t="s">
        <v>440</v>
      </c>
      <c r="H35" t="s">
        <v>570</v>
      </c>
    </row>
    <row r="36" spans="1:8" x14ac:dyDescent="0.25">
      <c r="A36" t="s">
        <v>79</v>
      </c>
      <c r="B36" t="s">
        <v>79</v>
      </c>
      <c r="C36" t="s">
        <v>436</v>
      </c>
      <c r="D36" t="s">
        <v>571</v>
      </c>
      <c r="E36" t="s">
        <v>572</v>
      </c>
      <c r="F36" t="s">
        <v>573</v>
      </c>
      <c r="G36" t="s">
        <v>440</v>
      </c>
      <c r="H36" t="s">
        <v>574</v>
      </c>
    </row>
    <row r="37" spans="1:8" x14ac:dyDescent="0.25">
      <c r="A37" t="s">
        <v>81</v>
      </c>
      <c r="B37" t="s">
        <v>81</v>
      </c>
      <c r="C37" t="s">
        <v>436</v>
      </c>
      <c r="D37" t="s">
        <v>575</v>
      </c>
      <c r="E37" t="s">
        <v>576</v>
      </c>
      <c r="F37" t="s">
        <v>577</v>
      </c>
      <c r="G37" t="s">
        <v>440</v>
      </c>
      <c r="H37" t="s">
        <v>578</v>
      </c>
    </row>
    <row r="38" spans="1:8" x14ac:dyDescent="0.25">
      <c r="A38" t="s">
        <v>85</v>
      </c>
      <c r="B38" t="s">
        <v>85</v>
      </c>
      <c r="C38" t="s">
        <v>436</v>
      </c>
      <c r="D38" t="s">
        <v>579</v>
      </c>
      <c r="E38" t="s">
        <v>580</v>
      </c>
      <c r="F38" t="s">
        <v>581</v>
      </c>
      <c r="G38" t="s">
        <v>440</v>
      </c>
      <c r="H38" t="s">
        <v>582</v>
      </c>
    </row>
    <row r="39" spans="1:8" x14ac:dyDescent="0.25">
      <c r="A39" t="s">
        <v>87</v>
      </c>
      <c r="B39" t="s">
        <v>87</v>
      </c>
      <c r="C39" t="s">
        <v>436</v>
      </c>
      <c r="D39" t="s">
        <v>583</v>
      </c>
      <c r="E39" t="s">
        <v>584</v>
      </c>
      <c r="F39" t="s">
        <v>460</v>
      </c>
      <c r="G39" t="s">
        <v>585</v>
      </c>
      <c r="H39" t="s">
        <v>586</v>
      </c>
    </row>
    <row r="40" spans="1:8" x14ac:dyDescent="0.25">
      <c r="A40" t="s">
        <v>89</v>
      </c>
      <c r="B40" t="s">
        <v>89</v>
      </c>
      <c r="C40" t="s">
        <v>436</v>
      </c>
      <c r="D40" t="s">
        <v>587</v>
      </c>
      <c r="E40" t="s">
        <v>588</v>
      </c>
      <c r="F40" t="s">
        <v>589</v>
      </c>
      <c r="G40" t="s">
        <v>440</v>
      </c>
      <c r="H40" t="s">
        <v>590</v>
      </c>
    </row>
    <row r="41" spans="1:8" x14ac:dyDescent="0.25">
      <c r="A41" t="s">
        <v>91</v>
      </c>
      <c r="B41" t="s">
        <v>91</v>
      </c>
      <c r="C41" t="s">
        <v>436</v>
      </c>
      <c r="D41" t="s">
        <v>591</v>
      </c>
      <c r="E41" t="s">
        <v>592</v>
      </c>
      <c r="F41" t="s">
        <v>593</v>
      </c>
      <c r="G41" t="s">
        <v>440</v>
      </c>
      <c r="H41" t="s">
        <v>594</v>
      </c>
    </row>
    <row r="42" spans="1:8" x14ac:dyDescent="0.25">
      <c r="A42" t="s">
        <v>93</v>
      </c>
      <c r="B42" t="s">
        <v>93</v>
      </c>
      <c r="C42" t="s">
        <v>436</v>
      </c>
      <c r="D42" t="s">
        <v>595</v>
      </c>
      <c r="E42" t="s">
        <v>596</v>
      </c>
      <c r="F42" t="s">
        <v>597</v>
      </c>
      <c r="G42" t="s">
        <v>440</v>
      </c>
      <c r="H42" t="s">
        <v>598</v>
      </c>
    </row>
    <row r="43" spans="1:8" x14ac:dyDescent="0.25">
      <c r="A43" t="s">
        <v>95</v>
      </c>
      <c r="B43" t="s">
        <v>95</v>
      </c>
      <c r="C43" t="s">
        <v>436</v>
      </c>
      <c r="D43" t="s">
        <v>599</v>
      </c>
      <c r="E43" t="s">
        <v>600</v>
      </c>
      <c r="F43" t="s">
        <v>601</v>
      </c>
      <c r="G43" t="s">
        <v>602</v>
      </c>
      <c r="H43" t="s">
        <v>603</v>
      </c>
    </row>
    <row r="44" spans="1:8" x14ac:dyDescent="0.25">
      <c r="A44" t="s">
        <v>97</v>
      </c>
      <c r="B44" t="s">
        <v>97</v>
      </c>
      <c r="C44" t="s">
        <v>436</v>
      </c>
      <c r="D44" t="s">
        <v>604</v>
      </c>
      <c r="E44" t="s">
        <v>584</v>
      </c>
      <c r="F44" t="s">
        <v>605</v>
      </c>
      <c r="G44" t="s">
        <v>606</v>
      </c>
      <c r="H44" t="s">
        <v>607</v>
      </c>
    </row>
    <row r="45" spans="1:8" x14ac:dyDescent="0.25">
      <c r="A45" t="s">
        <v>99</v>
      </c>
      <c r="B45" t="s">
        <v>99</v>
      </c>
      <c r="C45" t="s">
        <v>436</v>
      </c>
      <c r="D45" t="s">
        <v>608</v>
      </c>
      <c r="E45" t="s">
        <v>609</v>
      </c>
      <c r="F45" t="s">
        <v>610</v>
      </c>
      <c r="G45" t="s">
        <v>440</v>
      </c>
      <c r="H45" t="s">
        <v>611</v>
      </c>
    </row>
    <row r="46" spans="1:8" x14ac:dyDescent="0.25">
      <c r="A46" t="s">
        <v>101</v>
      </c>
      <c r="B46" t="s">
        <v>101</v>
      </c>
      <c r="C46" t="s">
        <v>436</v>
      </c>
      <c r="D46" t="s">
        <v>612</v>
      </c>
      <c r="E46" t="s">
        <v>613</v>
      </c>
      <c r="F46" t="s">
        <v>614</v>
      </c>
      <c r="G46" t="s">
        <v>440</v>
      </c>
      <c r="H46" t="s">
        <v>615</v>
      </c>
    </row>
    <row r="47" spans="1:8" x14ac:dyDescent="0.25">
      <c r="A47" t="s">
        <v>103</v>
      </c>
      <c r="B47" t="s">
        <v>103</v>
      </c>
      <c r="C47" t="s">
        <v>436</v>
      </c>
      <c r="D47" t="s">
        <v>616</v>
      </c>
      <c r="E47" t="s">
        <v>617</v>
      </c>
      <c r="F47" t="s">
        <v>618</v>
      </c>
      <c r="G47" t="s">
        <v>440</v>
      </c>
      <c r="H47" t="s">
        <v>619</v>
      </c>
    </row>
    <row r="48" spans="1:8" x14ac:dyDescent="0.25">
      <c r="A48" t="s">
        <v>105</v>
      </c>
      <c r="B48" t="s">
        <v>105</v>
      </c>
      <c r="C48" t="s">
        <v>436</v>
      </c>
      <c r="D48" t="s">
        <v>620</v>
      </c>
      <c r="E48" t="s">
        <v>621</v>
      </c>
      <c r="F48" t="s">
        <v>622</v>
      </c>
      <c r="G48" t="s">
        <v>440</v>
      </c>
      <c r="H48" t="s">
        <v>623</v>
      </c>
    </row>
    <row r="49" spans="1:8" x14ac:dyDescent="0.25">
      <c r="A49" t="s">
        <v>107</v>
      </c>
      <c r="B49" t="s">
        <v>107</v>
      </c>
      <c r="C49" t="s">
        <v>436</v>
      </c>
      <c r="D49" t="s">
        <v>624</v>
      </c>
      <c r="E49" t="s">
        <v>625</v>
      </c>
      <c r="F49" t="s">
        <v>626</v>
      </c>
      <c r="G49" t="s">
        <v>440</v>
      </c>
      <c r="H49" t="s">
        <v>627</v>
      </c>
    </row>
    <row r="50" spans="1:8" x14ac:dyDescent="0.25">
      <c r="A50" t="s">
        <v>110</v>
      </c>
      <c r="B50" t="s">
        <v>110</v>
      </c>
      <c r="C50" t="s">
        <v>436</v>
      </c>
      <c r="D50" t="s">
        <v>628</v>
      </c>
      <c r="E50" t="s">
        <v>629</v>
      </c>
      <c r="F50" t="s">
        <v>630</v>
      </c>
      <c r="G50" t="s">
        <v>440</v>
      </c>
      <c r="H50" t="s">
        <v>631</v>
      </c>
    </row>
    <row r="51" spans="1:8" x14ac:dyDescent="0.25">
      <c r="A51" t="s">
        <v>112</v>
      </c>
      <c r="B51" t="s">
        <v>112</v>
      </c>
      <c r="C51" t="s">
        <v>436</v>
      </c>
      <c r="D51" t="s">
        <v>632</v>
      </c>
      <c r="E51" t="s">
        <v>633</v>
      </c>
      <c r="F51" t="s">
        <v>634</v>
      </c>
      <c r="G51" t="s">
        <v>440</v>
      </c>
      <c r="H51" t="s">
        <v>635</v>
      </c>
    </row>
    <row r="52" spans="1:8" x14ac:dyDescent="0.25">
      <c r="A52" t="s">
        <v>114</v>
      </c>
      <c r="B52" t="s">
        <v>114</v>
      </c>
      <c r="C52" t="s">
        <v>436</v>
      </c>
      <c r="D52" t="s">
        <v>636</v>
      </c>
      <c r="E52" t="s">
        <v>637</v>
      </c>
      <c r="F52" t="s">
        <v>638</v>
      </c>
      <c r="G52" t="s">
        <v>440</v>
      </c>
      <c r="H52" t="s">
        <v>639</v>
      </c>
    </row>
    <row r="53" spans="1:8" x14ac:dyDescent="0.25">
      <c r="A53" t="s">
        <v>116</v>
      </c>
      <c r="B53" t="s">
        <v>116</v>
      </c>
      <c r="C53" t="s">
        <v>436</v>
      </c>
      <c r="D53" t="s">
        <v>640</v>
      </c>
      <c r="E53" t="s">
        <v>641</v>
      </c>
      <c r="F53" t="s">
        <v>642</v>
      </c>
      <c r="G53" t="s">
        <v>440</v>
      </c>
      <c r="H53" t="s">
        <v>643</v>
      </c>
    </row>
    <row r="54" spans="1:8" x14ac:dyDescent="0.25">
      <c r="A54" t="s">
        <v>118</v>
      </c>
      <c r="B54" t="s">
        <v>118</v>
      </c>
      <c r="C54" t="s">
        <v>436</v>
      </c>
      <c r="D54" t="s">
        <v>644</v>
      </c>
      <c r="E54" t="s">
        <v>645</v>
      </c>
      <c r="F54" t="s">
        <v>646</v>
      </c>
      <c r="G54" t="s">
        <v>440</v>
      </c>
      <c r="H54" t="s">
        <v>647</v>
      </c>
    </row>
    <row r="55" spans="1:8" x14ac:dyDescent="0.25">
      <c r="A55" t="s">
        <v>120</v>
      </c>
      <c r="B55" t="s">
        <v>120</v>
      </c>
      <c r="C55" t="s">
        <v>436</v>
      </c>
      <c r="D55" t="s">
        <v>648</v>
      </c>
      <c r="E55" t="s">
        <v>649</v>
      </c>
      <c r="F55" t="s">
        <v>650</v>
      </c>
      <c r="G55" t="s">
        <v>440</v>
      </c>
      <c r="H55" t="s">
        <v>651</v>
      </c>
    </row>
    <row r="56" spans="1:8" x14ac:dyDescent="0.25">
      <c r="A56" t="s">
        <v>122</v>
      </c>
      <c r="B56" t="s">
        <v>122</v>
      </c>
      <c r="C56" t="s">
        <v>436</v>
      </c>
      <c r="D56" t="s">
        <v>652</v>
      </c>
      <c r="E56" t="s">
        <v>653</v>
      </c>
      <c r="F56" t="s">
        <v>654</v>
      </c>
      <c r="G56" t="s">
        <v>440</v>
      </c>
      <c r="H56" t="s">
        <v>655</v>
      </c>
    </row>
    <row r="57" spans="1:8" x14ac:dyDescent="0.25">
      <c r="A57" t="s">
        <v>126</v>
      </c>
      <c r="B57" t="s">
        <v>126</v>
      </c>
      <c r="C57" t="s">
        <v>436</v>
      </c>
      <c r="D57" t="s">
        <v>656</v>
      </c>
      <c r="E57" t="s">
        <v>657</v>
      </c>
      <c r="F57" t="s">
        <v>658</v>
      </c>
      <c r="G57" t="s">
        <v>440</v>
      </c>
      <c r="H57" t="s">
        <v>659</v>
      </c>
    </row>
    <row r="58" spans="1:8" x14ac:dyDescent="0.25">
      <c r="A58" t="s">
        <v>131</v>
      </c>
      <c r="B58" t="s">
        <v>131</v>
      </c>
      <c r="C58" t="s">
        <v>436</v>
      </c>
      <c r="D58" t="s">
        <v>660</v>
      </c>
      <c r="E58" t="s">
        <v>661</v>
      </c>
      <c r="F58" t="s">
        <v>662</v>
      </c>
      <c r="G58" t="s">
        <v>440</v>
      </c>
      <c r="H58" t="s">
        <v>663</v>
      </c>
    </row>
    <row r="59" spans="1:8" x14ac:dyDescent="0.25">
      <c r="A59" t="s">
        <v>133</v>
      </c>
      <c r="B59" t="s">
        <v>133</v>
      </c>
      <c r="C59" t="s">
        <v>436</v>
      </c>
      <c r="D59" t="s">
        <v>664</v>
      </c>
      <c r="E59" t="s">
        <v>665</v>
      </c>
      <c r="F59" t="s">
        <v>666</v>
      </c>
      <c r="G59" t="s">
        <v>440</v>
      </c>
      <c r="H59" t="s">
        <v>667</v>
      </c>
    </row>
    <row r="60" spans="1:8" x14ac:dyDescent="0.25">
      <c r="A60" t="s">
        <v>135</v>
      </c>
      <c r="B60" t="s">
        <v>135</v>
      </c>
      <c r="C60" t="s">
        <v>436</v>
      </c>
      <c r="D60" t="s">
        <v>668</v>
      </c>
      <c r="E60" t="s">
        <v>584</v>
      </c>
      <c r="F60" t="s">
        <v>460</v>
      </c>
      <c r="G60" t="s">
        <v>585</v>
      </c>
      <c r="H60" t="s">
        <v>669</v>
      </c>
    </row>
    <row r="61" spans="1:8" x14ac:dyDescent="0.25">
      <c r="A61" t="s">
        <v>138</v>
      </c>
      <c r="B61" t="s">
        <v>138</v>
      </c>
      <c r="C61" t="s">
        <v>436</v>
      </c>
      <c r="D61" t="s">
        <v>670</v>
      </c>
      <c r="E61" t="s">
        <v>671</v>
      </c>
      <c r="F61" t="s">
        <v>672</v>
      </c>
      <c r="G61" t="s">
        <v>440</v>
      </c>
      <c r="H61" t="s">
        <v>673</v>
      </c>
    </row>
    <row r="62" spans="1:8" x14ac:dyDescent="0.25">
      <c r="A62" t="s">
        <v>140</v>
      </c>
      <c r="B62" t="s">
        <v>140</v>
      </c>
      <c r="C62" t="s">
        <v>436</v>
      </c>
      <c r="D62" t="s">
        <v>674</v>
      </c>
      <c r="E62" t="s">
        <v>675</v>
      </c>
      <c r="F62" t="s">
        <v>676</v>
      </c>
      <c r="G62" t="s">
        <v>440</v>
      </c>
      <c r="H62" t="s">
        <v>677</v>
      </c>
    </row>
    <row r="63" spans="1:8" x14ac:dyDescent="0.25">
      <c r="A63" t="s">
        <v>142</v>
      </c>
      <c r="B63" t="s">
        <v>142</v>
      </c>
      <c r="C63" t="s">
        <v>436</v>
      </c>
      <c r="D63" t="s">
        <v>678</v>
      </c>
      <c r="E63" t="s">
        <v>679</v>
      </c>
      <c r="F63" t="s">
        <v>680</v>
      </c>
      <c r="G63" t="s">
        <v>440</v>
      </c>
      <c r="H63" t="s">
        <v>681</v>
      </c>
    </row>
    <row r="64" spans="1:8" x14ac:dyDescent="0.25">
      <c r="A64" t="s">
        <v>144</v>
      </c>
      <c r="B64" t="s">
        <v>144</v>
      </c>
      <c r="C64" t="s">
        <v>436</v>
      </c>
      <c r="D64" t="s">
        <v>682</v>
      </c>
      <c r="E64" t="s">
        <v>683</v>
      </c>
      <c r="F64" t="s">
        <v>684</v>
      </c>
      <c r="G64" t="s">
        <v>440</v>
      </c>
      <c r="H64" t="s">
        <v>685</v>
      </c>
    </row>
    <row r="65" spans="1:8" x14ac:dyDescent="0.25">
      <c r="A65" t="s">
        <v>146</v>
      </c>
      <c r="B65" t="s">
        <v>146</v>
      </c>
      <c r="C65" t="s">
        <v>436</v>
      </c>
      <c r="D65" t="s">
        <v>686</v>
      </c>
      <c r="E65" t="s">
        <v>687</v>
      </c>
      <c r="F65" t="s">
        <v>688</v>
      </c>
      <c r="G65" t="s">
        <v>440</v>
      </c>
      <c r="H65" t="s">
        <v>689</v>
      </c>
    </row>
    <row r="66" spans="1:8" x14ac:dyDescent="0.25">
      <c r="A66" t="s">
        <v>148</v>
      </c>
      <c r="B66" t="s">
        <v>148</v>
      </c>
      <c r="C66" t="s">
        <v>436</v>
      </c>
      <c r="D66" t="s">
        <v>690</v>
      </c>
      <c r="E66" t="s">
        <v>691</v>
      </c>
      <c r="F66" t="s">
        <v>692</v>
      </c>
      <c r="G66" t="s">
        <v>440</v>
      </c>
      <c r="H66" t="s">
        <v>693</v>
      </c>
    </row>
    <row r="67" spans="1:8" x14ac:dyDescent="0.25">
      <c r="A67" t="s">
        <v>150</v>
      </c>
      <c r="B67" t="s">
        <v>150</v>
      </c>
      <c r="C67" t="s">
        <v>436</v>
      </c>
      <c r="D67" t="s">
        <v>694</v>
      </c>
      <c r="E67" t="s">
        <v>695</v>
      </c>
      <c r="F67" t="s">
        <v>696</v>
      </c>
      <c r="G67" t="s">
        <v>440</v>
      </c>
      <c r="H67" t="s">
        <v>697</v>
      </c>
    </row>
    <row r="68" spans="1:8" x14ac:dyDescent="0.25">
      <c r="A68" t="s">
        <v>152</v>
      </c>
      <c r="B68" t="s">
        <v>152</v>
      </c>
      <c r="C68" t="s">
        <v>436</v>
      </c>
      <c r="D68" t="s">
        <v>698</v>
      </c>
      <c r="E68" t="s">
        <v>699</v>
      </c>
      <c r="F68" t="s">
        <v>700</v>
      </c>
      <c r="G68" t="s">
        <v>440</v>
      </c>
      <c r="H68" t="s">
        <v>701</v>
      </c>
    </row>
    <row r="69" spans="1:8" x14ac:dyDescent="0.25">
      <c r="A69" t="s">
        <v>154</v>
      </c>
      <c r="B69" t="s">
        <v>154</v>
      </c>
      <c r="C69" t="s">
        <v>436</v>
      </c>
      <c r="D69" t="s">
        <v>702</v>
      </c>
      <c r="E69" t="s">
        <v>703</v>
      </c>
      <c r="F69" t="s">
        <v>704</v>
      </c>
      <c r="G69" t="s">
        <v>440</v>
      </c>
      <c r="H69" t="s">
        <v>705</v>
      </c>
    </row>
    <row r="70" spans="1:8" x14ac:dyDescent="0.25">
      <c r="A70" t="s">
        <v>156</v>
      </c>
      <c r="B70" t="s">
        <v>156</v>
      </c>
      <c r="C70" t="s">
        <v>436</v>
      </c>
      <c r="D70" t="s">
        <v>706</v>
      </c>
      <c r="E70" t="s">
        <v>707</v>
      </c>
      <c r="F70" t="s">
        <v>708</v>
      </c>
      <c r="G70" t="s">
        <v>440</v>
      </c>
      <c r="H70" t="s">
        <v>709</v>
      </c>
    </row>
    <row r="71" spans="1:8" x14ac:dyDescent="0.25">
      <c r="A71" t="s">
        <v>158</v>
      </c>
      <c r="B71" t="s">
        <v>158</v>
      </c>
      <c r="C71" t="s">
        <v>436</v>
      </c>
      <c r="D71" t="s">
        <v>710</v>
      </c>
      <c r="E71" t="s">
        <v>711</v>
      </c>
      <c r="F71" t="s">
        <v>712</v>
      </c>
      <c r="G71" t="s">
        <v>440</v>
      </c>
      <c r="H71" t="s">
        <v>713</v>
      </c>
    </row>
    <row r="72" spans="1:8" x14ac:dyDescent="0.25">
      <c r="A72" t="s">
        <v>160</v>
      </c>
      <c r="B72" t="s">
        <v>160</v>
      </c>
      <c r="C72" t="s">
        <v>436</v>
      </c>
      <c r="D72" t="s">
        <v>714</v>
      </c>
      <c r="E72" t="s">
        <v>715</v>
      </c>
      <c r="F72" t="s">
        <v>716</v>
      </c>
      <c r="G72" t="s">
        <v>440</v>
      </c>
      <c r="H72" t="s">
        <v>717</v>
      </c>
    </row>
    <row r="73" spans="1:8" x14ac:dyDescent="0.25">
      <c r="A73" t="s">
        <v>163</v>
      </c>
      <c r="B73" t="s">
        <v>163</v>
      </c>
      <c r="C73" t="s">
        <v>436</v>
      </c>
      <c r="D73" t="s">
        <v>718</v>
      </c>
      <c r="E73" t="s">
        <v>719</v>
      </c>
      <c r="F73" t="s">
        <v>720</v>
      </c>
      <c r="G73" t="s">
        <v>440</v>
      </c>
      <c r="H73" t="s">
        <v>721</v>
      </c>
    </row>
    <row r="74" spans="1:8" x14ac:dyDescent="0.25">
      <c r="A74" t="s">
        <v>165</v>
      </c>
      <c r="B74" t="s">
        <v>165</v>
      </c>
      <c r="C74" t="s">
        <v>436</v>
      </c>
      <c r="D74" t="s">
        <v>722</v>
      </c>
      <c r="E74" t="s">
        <v>723</v>
      </c>
      <c r="F74" t="s">
        <v>724</v>
      </c>
      <c r="G74" t="s">
        <v>440</v>
      </c>
      <c r="H74" t="s">
        <v>725</v>
      </c>
    </row>
    <row r="75" spans="1:8" x14ac:dyDescent="0.25">
      <c r="A75" t="s">
        <v>167</v>
      </c>
      <c r="B75" t="s">
        <v>167</v>
      </c>
      <c r="C75" t="s">
        <v>436</v>
      </c>
      <c r="D75" t="s">
        <v>726</v>
      </c>
      <c r="E75" t="s">
        <v>727</v>
      </c>
      <c r="F75" t="s">
        <v>728</v>
      </c>
      <c r="G75" t="s">
        <v>440</v>
      </c>
      <c r="H75" t="s">
        <v>729</v>
      </c>
    </row>
    <row r="76" spans="1:8" x14ac:dyDescent="0.25">
      <c r="A76" t="s">
        <v>169</v>
      </c>
      <c r="B76" t="s">
        <v>169</v>
      </c>
      <c r="C76" t="s">
        <v>436</v>
      </c>
      <c r="D76" t="s">
        <v>730</v>
      </c>
      <c r="E76" t="s">
        <v>731</v>
      </c>
      <c r="F76" t="s">
        <v>732</v>
      </c>
      <c r="G76" t="s">
        <v>440</v>
      </c>
      <c r="H76" t="s">
        <v>733</v>
      </c>
    </row>
    <row r="77" spans="1:8" x14ac:dyDescent="0.25">
      <c r="A77" t="s">
        <v>171</v>
      </c>
      <c r="B77" t="s">
        <v>171</v>
      </c>
      <c r="C77" t="s">
        <v>436</v>
      </c>
      <c r="D77" t="s">
        <v>734</v>
      </c>
      <c r="E77" t="s">
        <v>735</v>
      </c>
      <c r="F77" t="s">
        <v>736</v>
      </c>
      <c r="G77" t="s">
        <v>440</v>
      </c>
      <c r="H77" t="s">
        <v>737</v>
      </c>
    </row>
    <row r="78" spans="1:8" x14ac:dyDescent="0.25">
      <c r="A78" t="s">
        <v>173</v>
      </c>
      <c r="B78" t="s">
        <v>173</v>
      </c>
      <c r="C78" t="s">
        <v>436</v>
      </c>
      <c r="D78" t="s">
        <v>738</v>
      </c>
      <c r="E78" t="s">
        <v>739</v>
      </c>
      <c r="F78" t="s">
        <v>740</v>
      </c>
      <c r="G78" t="s">
        <v>440</v>
      </c>
      <c r="H78" t="s">
        <v>741</v>
      </c>
    </row>
    <row r="79" spans="1:8" x14ac:dyDescent="0.25">
      <c r="A79" t="s">
        <v>175</v>
      </c>
      <c r="B79" t="s">
        <v>175</v>
      </c>
      <c r="C79" t="s">
        <v>436</v>
      </c>
      <c r="D79" t="s">
        <v>742</v>
      </c>
      <c r="E79" t="s">
        <v>743</v>
      </c>
      <c r="F79" t="s">
        <v>744</v>
      </c>
      <c r="G79" t="s">
        <v>440</v>
      </c>
      <c r="H79" t="s">
        <v>745</v>
      </c>
    </row>
    <row r="80" spans="1:8" x14ac:dyDescent="0.25">
      <c r="A80" t="s">
        <v>177</v>
      </c>
      <c r="B80" t="s">
        <v>177</v>
      </c>
      <c r="C80" t="s">
        <v>436</v>
      </c>
      <c r="D80" t="s">
        <v>746</v>
      </c>
      <c r="E80" t="s">
        <v>747</v>
      </c>
      <c r="F80" t="s">
        <v>748</v>
      </c>
      <c r="G80" t="s">
        <v>440</v>
      </c>
      <c r="H80" t="s">
        <v>749</v>
      </c>
    </row>
    <row r="81" spans="1:8" x14ac:dyDescent="0.25">
      <c r="A81" t="s">
        <v>179</v>
      </c>
      <c r="B81" t="s">
        <v>179</v>
      </c>
      <c r="C81" t="s">
        <v>436</v>
      </c>
      <c r="D81" t="s">
        <v>750</v>
      </c>
      <c r="E81" t="s">
        <v>751</v>
      </c>
      <c r="F81" t="s">
        <v>752</v>
      </c>
      <c r="G81" t="s">
        <v>440</v>
      </c>
      <c r="H81" t="s">
        <v>753</v>
      </c>
    </row>
    <row r="82" spans="1:8" x14ac:dyDescent="0.25">
      <c r="A82" t="s">
        <v>181</v>
      </c>
      <c r="B82" t="s">
        <v>181</v>
      </c>
      <c r="C82" t="s">
        <v>436</v>
      </c>
      <c r="D82" t="s">
        <v>754</v>
      </c>
      <c r="E82" t="s">
        <v>755</v>
      </c>
      <c r="F82" t="s">
        <v>756</v>
      </c>
      <c r="G82" t="s">
        <v>440</v>
      </c>
      <c r="H82" t="s">
        <v>757</v>
      </c>
    </row>
    <row r="83" spans="1:8" x14ac:dyDescent="0.25">
      <c r="A83" t="s">
        <v>183</v>
      </c>
      <c r="B83" t="s">
        <v>183</v>
      </c>
      <c r="C83" t="s">
        <v>436</v>
      </c>
      <c r="D83" t="s">
        <v>758</v>
      </c>
      <c r="E83" t="s">
        <v>759</v>
      </c>
      <c r="F83" t="s">
        <v>760</v>
      </c>
      <c r="G83" t="s">
        <v>440</v>
      </c>
      <c r="H83" t="s">
        <v>729</v>
      </c>
    </row>
    <row r="84" spans="1:8" x14ac:dyDescent="0.25">
      <c r="A84" t="s">
        <v>186</v>
      </c>
      <c r="B84" t="s">
        <v>186</v>
      </c>
      <c r="C84" t="s">
        <v>436</v>
      </c>
      <c r="D84" t="s">
        <v>761</v>
      </c>
      <c r="E84" t="s">
        <v>762</v>
      </c>
      <c r="F84" t="s">
        <v>763</v>
      </c>
      <c r="G84" t="s">
        <v>440</v>
      </c>
      <c r="H84" t="s">
        <v>764</v>
      </c>
    </row>
    <row r="85" spans="1:8" x14ac:dyDescent="0.25">
      <c r="A85" t="s">
        <v>188</v>
      </c>
      <c r="B85" t="s">
        <v>188</v>
      </c>
      <c r="C85" t="s">
        <v>436</v>
      </c>
      <c r="D85" t="s">
        <v>765</v>
      </c>
      <c r="E85" t="s">
        <v>766</v>
      </c>
      <c r="F85" t="s">
        <v>767</v>
      </c>
      <c r="G85" t="s">
        <v>440</v>
      </c>
      <c r="H85" t="s">
        <v>768</v>
      </c>
    </row>
    <row r="86" spans="1:8" x14ac:dyDescent="0.25">
      <c r="A86" t="s">
        <v>190</v>
      </c>
      <c r="B86" t="s">
        <v>190</v>
      </c>
      <c r="C86" t="s">
        <v>436</v>
      </c>
      <c r="D86" t="s">
        <v>769</v>
      </c>
      <c r="E86" t="s">
        <v>770</v>
      </c>
      <c r="F86" t="s">
        <v>771</v>
      </c>
      <c r="G86" t="s">
        <v>440</v>
      </c>
      <c r="H86" t="s">
        <v>635</v>
      </c>
    </row>
    <row r="87" spans="1:8" x14ac:dyDescent="0.25">
      <c r="A87" t="s">
        <v>192</v>
      </c>
      <c r="B87" t="s">
        <v>192</v>
      </c>
      <c r="C87" t="s">
        <v>436</v>
      </c>
      <c r="D87" t="s">
        <v>772</v>
      </c>
      <c r="E87" t="s">
        <v>773</v>
      </c>
      <c r="F87" t="s">
        <v>774</v>
      </c>
      <c r="G87" t="s">
        <v>440</v>
      </c>
      <c r="H87" t="s">
        <v>775</v>
      </c>
    </row>
    <row r="88" spans="1:8" x14ac:dyDescent="0.25">
      <c r="A88" t="s">
        <v>194</v>
      </c>
      <c r="B88" t="s">
        <v>194</v>
      </c>
      <c r="C88" t="s">
        <v>436</v>
      </c>
      <c r="D88" t="s">
        <v>776</v>
      </c>
      <c r="E88" t="s">
        <v>777</v>
      </c>
      <c r="F88" t="s">
        <v>778</v>
      </c>
      <c r="G88" t="s">
        <v>440</v>
      </c>
      <c r="H88" t="s">
        <v>779</v>
      </c>
    </row>
    <row r="89" spans="1:8" x14ac:dyDescent="0.25">
      <c r="A89" t="s">
        <v>196</v>
      </c>
      <c r="B89" t="s">
        <v>196</v>
      </c>
      <c r="C89" t="s">
        <v>436</v>
      </c>
      <c r="D89" t="s">
        <v>780</v>
      </c>
      <c r="E89" t="s">
        <v>781</v>
      </c>
      <c r="F89" t="s">
        <v>782</v>
      </c>
      <c r="G89" t="s">
        <v>440</v>
      </c>
      <c r="H89" t="s">
        <v>783</v>
      </c>
    </row>
    <row r="90" spans="1:8" x14ac:dyDescent="0.25">
      <c r="A90" t="s">
        <v>198</v>
      </c>
      <c r="B90" t="s">
        <v>198</v>
      </c>
      <c r="C90" t="s">
        <v>436</v>
      </c>
      <c r="D90" t="s">
        <v>784</v>
      </c>
      <c r="E90" t="s">
        <v>785</v>
      </c>
      <c r="F90" t="s">
        <v>786</v>
      </c>
      <c r="G90" t="s">
        <v>440</v>
      </c>
      <c r="H90" t="s">
        <v>787</v>
      </c>
    </row>
    <row r="91" spans="1:8" x14ac:dyDescent="0.25">
      <c r="A91" t="s">
        <v>200</v>
      </c>
      <c r="B91" t="s">
        <v>200</v>
      </c>
      <c r="C91" t="s">
        <v>436</v>
      </c>
      <c r="D91" t="s">
        <v>788</v>
      </c>
      <c r="E91" t="s">
        <v>789</v>
      </c>
      <c r="F91" t="s">
        <v>790</v>
      </c>
      <c r="G91" t="s">
        <v>440</v>
      </c>
      <c r="H91" t="s">
        <v>681</v>
      </c>
    </row>
    <row r="92" spans="1:8" x14ac:dyDescent="0.25">
      <c r="A92" t="s">
        <v>202</v>
      </c>
      <c r="B92" t="s">
        <v>202</v>
      </c>
      <c r="C92" t="s">
        <v>436</v>
      </c>
      <c r="D92" t="s">
        <v>791</v>
      </c>
      <c r="E92" t="s">
        <v>792</v>
      </c>
      <c r="F92" t="s">
        <v>793</v>
      </c>
      <c r="G92" t="s">
        <v>440</v>
      </c>
      <c r="H92" t="s">
        <v>794</v>
      </c>
    </row>
    <row r="93" spans="1:8" x14ac:dyDescent="0.25">
      <c r="A93" t="s">
        <v>204</v>
      </c>
      <c r="B93" t="s">
        <v>204</v>
      </c>
      <c r="C93" t="s">
        <v>436</v>
      </c>
      <c r="D93" t="s">
        <v>795</v>
      </c>
      <c r="E93" t="s">
        <v>796</v>
      </c>
      <c r="F93" t="s">
        <v>797</v>
      </c>
      <c r="G93" t="s">
        <v>440</v>
      </c>
      <c r="H93" t="s">
        <v>798</v>
      </c>
    </row>
    <row r="94" spans="1:8" x14ac:dyDescent="0.25">
      <c r="A94" t="s">
        <v>206</v>
      </c>
      <c r="B94" t="s">
        <v>206</v>
      </c>
      <c r="C94" t="s">
        <v>436</v>
      </c>
      <c r="D94" t="s">
        <v>799</v>
      </c>
      <c r="E94" t="s">
        <v>800</v>
      </c>
      <c r="F94" t="s">
        <v>801</v>
      </c>
      <c r="G94" t="s">
        <v>440</v>
      </c>
      <c r="H94" t="s">
        <v>802</v>
      </c>
    </row>
    <row r="95" spans="1:8" x14ac:dyDescent="0.25">
      <c r="A95" t="s">
        <v>209</v>
      </c>
      <c r="B95" t="s">
        <v>209</v>
      </c>
      <c r="C95" t="s">
        <v>436</v>
      </c>
      <c r="D95" t="s">
        <v>803</v>
      </c>
      <c r="E95" t="s">
        <v>804</v>
      </c>
      <c r="F95" t="s">
        <v>805</v>
      </c>
      <c r="G95" t="s">
        <v>440</v>
      </c>
      <c r="H95" t="s">
        <v>806</v>
      </c>
    </row>
    <row r="96" spans="1:8" x14ac:dyDescent="0.25">
      <c r="A96" t="s">
        <v>212</v>
      </c>
      <c r="B96" t="s">
        <v>212</v>
      </c>
      <c r="C96" t="s">
        <v>436</v>
      </c>
      <c r="D96" t="s">
        <v>807</v>
      </c>
      <c r="E96" t="s">
        <v>808</v>
      </c>
      <c r="F96" t="s">
        <v>809</v>
      </c>
      <c r="G96" t="s">
        <v>440</v>
      </c>
      <c r="H96" t="s">
        <v>810</v>
      </c>
    </row>
    <row r="97" spans="1:8" x14ac:dyDescent="0.25">
      <c r="A97" t="s">
        <v>214</v>
      </c>
      <c r="B97" t="s">
        <v>214</v>
      </c>
      <c r="C97" t="s">
        <v>436</v>
      </c>
      <c r="D97" t="s">
        <v>811</v>
      </c>
      <c r="E97" t="s">
        <v>812</v>
      </c>
      <c r="F97" t="s">
        <v>813</v>
      </c>
      <c r="G97" t="s">
        <v>440</v>
      </c>
      <c r="H97" t="s">
        <v>814</v>
      </c>
    </row>
    <row r="98" spans="1:8" x14ac:dyDescent="0.25">
      <c r="A98" t="s">
        <v>216</v>
      </c>
      <c r="B98" t="s">
        <v>216</v>
      </c>
      <c r="C98" t="s">
        <v>436</v>
      </c>
      <c r="D98" t="s">
        <v>815</v>
      </c>
      <c r="E98" t="s">
        <v>816</v>
      </c>
      <c r="F98" t="s">
        <v>817</v>
      </c>
      <c r="G98" t="s">
        <v>440</v>
      </c>
      <c r="H98" t="s">
        <v>818</v>
      </c>
    </row>
    <row r="99" spans="1:8" x14ac:dyDescent="0.25">
      <c r="A99" t="s">
        <v>219</v>
      </c>
      <c r="B99" t="s">
        <v>219</v>
      </c>
      <c r="C99" t="s">
        <v>436</v>
      </c>
      <c r="D99" t="s">
        <v>819</v>
      </c>
      <c r="E99" t="s">
        <v>820</v>
      </c>
      <c r="F99" t="s">
        <v>821</v>
      </c>
      <c r="G99" t="s">
        <v>440</v>
      </c>
      <c r="H99" t="s">
        <v>822</v>
      </c>
    </row>
    <row r="100" spans="1:8" x14ac:dyDescent="0.25">
      <c r="A100" t="s">
        <v>221</v>
      </c>
      <c r="B100" t="s">
        <v>221</v>
      </c>
      <c r="C100" t="s">
        <v>436</v>
      </c>
      <c r="D100" t="s">
        <v>823</v>
      </c>
      <c r="E100" t="s">
        <v>824</v>
      </c>
      <c r="F100" t="s">
        <v>825</v>
      </c>
      <c r="G100" t="s">
        <v>440</v>
      </c>
      <c r="H100" t="s">
        <v>806</v>
      </c>
    </row>
    <row r="101" spans="1:8" x14ac:dyDescent="0.25">
      <c r="A101" t="s">
        <v>223</v>
      </c>
      <c r="B101" t="s">
        <v>223</v>
      </c>
      <c r="C101" t="s">
        <v>436</v>
      </c>
      <c r="D101" t="s">
        <v>826</v>
      </c>
      <c r="E101" t="s">
        <v>827</v>
      </c>
      <c r="F101" t="s">
        <v>828</v>
      </c>
      <c r="G101" t="s">
        <v>440</v>
      </c>
      <c r="H101" t="s">
        <v>441</v>
      </c>
    </row>
    <row r="102" spans="1:8" x14ac:dyDescent="0.25">
      <c r="A102" t="s">
        <v>225</v>
      </c>
      <c r="B102" t="s">
        <v>225</v>
      </c>
      <c r="C102" t="s">
        <v>436</v>
      </c>
      <c r="D102" t="s">
        <v>829</v>
      </c>
      <c r="E102" t="s">
        <v>830</v>
      </c>
      <c r="F102" t="s">
        <v>831</v>
      </c>
      <c r="G102" t="s">
        <v>440</v>
      </c>
      <c r="H102" t="s">
        <v>832</v>
      </c>
    </row>
    <row r="103" spans="1:8" x14ac:dyDescent="0.25">
      <c r="A103" t="s">
        <v>227</v>
      </c>
      <c r="B103" t="s">
        <v>227</v>
      </c>
      <c r="C103" t="s">
        <v>436</v>
      </c>
      <c r="D103" t="s">
        <v>833</v>
      </c>
      <c r="E103" t="s">
        <v>834</v>
      </c>
      <c r="F103" t="s">
        <v>835</v>
      </c>
      <c r="G103" t="s">
        <v>440</v>
      </c>
      <c r="H103" t="s">
        <v>836</v>
      </c>
    </row>
    <row r="104" spans="1:8" x14ac:dyDescent="0.25">
      <c r="A104" t="s">
        <v>230</v>
      </c>
      <c r="B104" t="s">
        <v>230</v>
      </c>
      <c r="C104" t="s">
        <v>436</v>
      </c>
      <c r="D104" t="s">
        <v>837</v>
      </c>
      <c r="E104" t="s">
        <v>838</v>
      </c>
      <c r="F104" t="s">
        <v>502</v>
      </c>
      <c r="G104" t="s">
        <v>440</v>
      </c>
      <c r="H104" t="s">
        <v>465</v>
      </c>
    </row>
    <row r="105" spans="1:8" x14ac:dyDescent="0.25">
      <c r="A105" t="s">
        <v>232</v>
      </c>
      <c r="B105" t="s">
        <v>232</v>
      </c>
      <c r="C105" t="s">
        <v>436</v>
      </c>
      <c r="D105" t="s">
        <v>839</v>
      </c>
      <c r="E105" t="s">
        <v>840</v>
      </c>
      <c r="F105" t="s">
        <v>841</v>
      </c>
      <c r="G105" t="s">
        <v>440</v>
      </c>
      <c r="H105" t="s">
        <v>842</v>
      </c>
    </row>
    <row r="106" spans="1:8" x14ac:dyDescent="0.25">
      <c r="A106" t="s">
        <v>234</v>
      </c>
      <c r="B106" t="s">
        <v>234</v>
      </c>
      <c r="C106" t="s">
        <v>436</v>
      </c>
      <c r="D106" t="s">
        <v>843</v>
      </c>
      <c r="E106" t="s">
        <v>844</v>
      </c>
      <c r="F106" t="s">
        <v>845</v>
      </c>
      <c r="G106" t="s">
        <v>440</v>
      </c>
      <c r="H106" t="s">
        <v>846</v>
      </c>
    </row>
    <row r="107" spans="1:8" x14ac:dyDescent="0.25">
      <c r="A107" t="s">
        <v>236</v>
      </c>
      <c r="B107" t="s">
        <v>236</v>
      </c>
      <c r="C107" t="s">
        <v>436</v>
      </c>
      <c r="D107" t="s">
        <v>847</v>
      </c>
      <c r="E107" t="s">
        <v>584</v>
      </c>
      <c r="F107" t="s">
        <v>848</v>
      </c>
      <c r="G107" t="s">
        <v>606</v>
      </c>
      <c r="H107" t="s">
        <v>849</v>
      </c>
    </row>
    <row r="108" spans="1:8" x14ac:dyDescent="0.25">
      <c r="A108" t="s">
        <v>238</v>
      </c>
      <c r="B108" t="s">
        <v>238</v>
      </c>
      <c r="C108" t="s">
        <v>436</v>
      </c>
      <c r="D108" t="s">
        <v>850</v>
      </c>
      <c r="E108" t="s">
        <v>851</v>
      </c>
      <c r="F108" t="s">
        <v>852</v>
      </c>
      <c r="G108" t="s">
        <v>440</v>
      </c>
      <c r="H108" t="s">
        <v>481</v>
      </c>
    </row>
    <row r="109" spans="1:8" x14ac:dyDescent="0.25">
      <c r="A109" t="s">
        <v>240</v>
      </c>
      <c r="B109" t="s">
        <v>240</v>
      </c>
      <c r="C109" t="s">
        <v>436</v>
      </c>
      <c r="D109" t="s">
        <v>853</v>
      </c>
      <c r="E109" t="s">
        <v>854</v>
      </c>
      <c r="F109" t="s">
        <v>855</v>
      </c>
      <c r="G109" t="s">
        <v>440</v>
      </c>
      <c r="H109" t="s">
        <v>856</v>
      </c>
    </row>
    <row r="110" spans="1:8" x14ac:dyDescent="0.25">
      <c r="A110" t="s">
        <v>242</v>
      </c>
      <c r="B110" t="s">
        <v>242</v>
      </c>
      <c r="C110" t="s">
        <v>436</v>
      </c>
      <c r="D110" t="s">
        <v>857</v>
      </c>
      <c r="E110" t="s">
        <v>858</v>
      </c>
      <c r="F110" t="s">
        <v>859</v>
      </c>
      <c r="G110" t="s">
        <v>440</v>
      </c>
      <c r="H110" t="s">
        <v>860</v>
      </c>
    </row>
    <row r="111" spans="1:8" x14ac:dyDescent="0.25">
      <c r="A111" t="s">
        <v>244</v>
      </c>
      <c r="B111" t="s">
        <v>244</v>
      </c>
      <c r="C111" t="s">
        <v>436</v>
      </c>
      <c r="D111" t="s">
        <v>861</v>
      </c>
      <c r="E111" t="s">
        <v>862</v>
      </c>
      <c r="F111" t="s">
        <v>863</v>
      </c>
      <c r="G111" t="s">
        <v>440</v>
      </c>
      <c r="H111" t="s">
        <v>864</v>
      </c>
    </row>
    <row r="112" spans="1:8" x14ac:dyDescent="0.25">
      <c r="A112" t="s">
        <v>246</v>
      </c>
      <c r="B112" t="s">
        <v>246</v>
      </c>
      <c r="C112" t="s">
        <v>436</v>
      </c>
      <c r="D112" t="s">
        <v>865</v>
      </c>
      <c r="E112" t="s">
        <v>866</v>
      </c>
      <c r="F112" t="s">
        <v>867</v>
      </c>
      <c r="G112" t="s">
        <v>440</v>
      </c>
      <c r="H112" t="s">
        <v>868</v>
      </c>
    </row>
    <row r="113" spans="1:8" x14ac:dyDescent="0.25">
      <c r="A113" t="s">
        <v>249</v>
      </c>
      <c r="B113" t="s">
        <v>249</v>
      </c>
      <c r="C113" t="s">
        <v>436</v>
      </c>
      <c r="D113" t="s">
        <v>869</v>
      </c>
      <c r="E113" t="s">
        <v>870</v>
      </c>
      <c r="F113" t="s">
        <v>871</v>
      </c>
      <c r="G113" t="s">
        <v>440</v>
      </c>
      <c r="H113" t="s">
        <v>872</v>
      </c>
    </row>
    <row r="114" spans="1:8" x14ac:dyDescent="0.25">
      <c r="A114" t="s">
        <v>251</v>
      </c>
      <c r="B114" t="s">
        <v>251</v>
      </c>
      <c r="C114" t="s">
        <v>436</v>
      </c>
      <c r="D114" t="s">
        <v>873</v>
      </c>
      <c r="E114" t="s">
        <v>874</v>
      </c>
      <c r="F114" t="s">
        <v>875</v>
      </c>
      <c r="G114" t="s">
        <v>440</v>
      </c>
      <c r="H114" t="s">
        <v>876</v>
      </c>
    </row>
    <row r="115" spans="1:8" x14ac:dyDescent="0.25">
      <c r="A115" t="s">
        <v>253</v>
      </c>
      <c r="B115" t="s">
        <v>253</v>
      </c>
      <c r="C115" t="s">
        <v>436</v>
      </c>
      <c r="D115" t="s">
        <v>877</v>
      </c>
      <c r="E115" t="s">
        <v>878</v>
      </c>
      <c r="F115" t="s">
        <v>879</v>
      </c>
      <c r="G115" t="s">
        <v>440</v>
      </c>
      <c r="H115" t="s">
        <v>880</v>
      </c>
    </row>
    <row r="116" spans="1:8" x14ac:dyDescent="0.25">
      <c r="A116" t="s">
        <v>255</v>
      </c>
      <c r="B116" t="s">
        <v>255</v>
      </c>
      <c r="C116" t="s">
        <v>436</v>
      </c>
      <c r="D116" t="s">
        <v>881</v>
      </c>
      <c r="E116" t="s">
        <v>882</v>
      </c>
      <c r="F116" t="s">
        <v>883</v>
      </c>
      <c r="G116" t="s">
        <v>440</v>
      </c>
      <c r="H116" t="s">
        <v>884</v>
      </c>
    </row>
    <row r="117" spans="1:8" x14ac:dyDescent="0.25">
      <c r="A117" t="s">
        <v>257</v>
      </c>
      <c r="B117" t="s">
        <v>257</v>
      </c>
      <c r="C117" t="s">
        <v>436</v>
      </c>
      <c r="D117" t="s">
        <v>885</v>
      </c>
      <c r="E117" t="s">
        <v>886</v>
      </c>
      <c r="F117" t="s">
        <v>887</v>
      </c>
      <c r="G117" t="s">
        <v>440</v>
      </c>
      <c r="H117" t="s">
        <v>493</v>
      </c>
    </row>
    <row r="118" spans="1:8" x14ac:dyDescent="0.25">
      <c r="A118" t="s">
        <v>260</v>
      </c>
      <c r="B118" t="s">
        <v>260</v>
      </c>
      <c r="C118" t="s">
        <v>436</v>
      </c>
      <c r="D118" t="s">
        <v>888</v>
      </c>
      <c r="E118" t="s">
        <v>889</v>
      </c>
      <c r="F118" t="s">
        <v>890</v>
      </c>
      <c r="G118" t="s">
        <v>440</v>
      </c>
      <c r="H118" t="s">
        <v>891</v>
      </c>
    </row>
    <row r="119" spans="1:8" x14ac:dyDescent="0.25">
      <c r="A119" t="s">
        <v>262</v>
      </c>
      <c r="B119" t="s">
        <v>262</v>
      </c>
      <c r="C119" t="s">
        <v>436</v>
      </c>
      <c r="D119" t="s">
        <v>892</v>
      </c>
      <c r="E119" t="s">
        <v>893</v>
      </c>
      <c r="F119" t="s">
        <v>894</v>
      </c>
      <c r="G119" t="s">
        <v>440</v>
      </c>
      <c r="H119" t="s">
        <v>895</v>
      </c>
    </row>
    <row r="120" spans="1:8" x14ac:dyDescent="0.25">
      <c r="A120" t="s">
        <v>264</v>
      </c>
      <c r="B120" t="s">
        <v>264</v>
      </c>
      <c r="C120" t="s">
        <v>436</v>
      </c>
      <c r="D120" t="s">
        <v>896</v>
      </c>
      <c r="E120" t="s">
        <v>897</v>
      </c>
      <c r="F120" t="s">
        <v>898</v>
      </c>
      <c r="G120" t="s">
        <v>440</v>
      </c>
      <c r="H120" t="s">
        <v>899</v>
      </c>
    </row>
    <row r="121" spans="1:8" x14ac:dyDescent="0.25">
      <c r="A121" t="s">
        <v>267</v>
      </c>
      <c r="B121" t="s">
        <v>267</v>
      </c>
      <c r="C121" t="s">
        <v>436</v>
      </c>
      <c r="D121" t="s">
        <v>900</v>
      </c>
      <c r="E121" t="s">
        <v>584</v>
      </c>
      <c r="F121" t="s">
        <v>460</v>
      </c>
      <c r="G121" t="s">
        <v>461</v>
      </c>
      <c r="H121" t="s">
        <v>901</v>
      </c>
    </row>
    <row r="122" spans="1:8" x14ac:dyDescent="0.25">
      <c r="A122" t="s">
        <v>269</v>
      </c>
      <c r="B122" t="s">
        <v>269</v>
      </c>
      <c r="C122" t="s">
        <v>436</v>
      </c>
      <c r="D122" t="s">
        <v>902</v>
      </c>
      <c r="E122" t="s">
        <v>851</v>
      </c>
      <c r="F122" t="s">
        <v>903</v>
      </c>
      <c r="G122" t="s">
        <v>440</v>
      </c>
      <c r="H122" t="s">
        <v>465</v>
      </c>
    </row>
    <row r="123" spans="1:8" x14ac:dyDescent="0.25">
      <c r="A123" t="s">
        <v>272</v>
      </c>
      <c r="B123" t="s">
        <v>272</v>
      </c>
      <c r="C123" t="s">
        <v>436</v>
      </c>
      <c r="D123" t="s">
        <v>904</v>
      </c>
      <c r="E123" t="s">
        <v>905</v>
      </c>
      <c r="F123" t="s">
        <v>906</v>
      </c>
      <c r="G123" t="s">
        <v>440</v>
      </c>
      <c r="H123" t="s">
        <v>907</v>
      </c>
    </row>
    <row r="124" spans="1:8" x14ac:dyDescent="0.25">
      <c r="A124" t="s">
        <v>274</v>
      </c>
      <c r="B124" t="s">
        <v>274</v>
      </c>
      <c r="C124" t="s">
        <v>436</v>
      </c>
      <c r="D124" t="s">
        <v>908</v>
      </c>
      <c r="E124" t="s">
        <v>909</v>
      </c>
      <c r="F124" t="s">
        <v>910</v>
      </c>
      <c r="G124" t="s">
        <v>440</v>
      </c>
      <c r="H124" t="s">
        <v>868</v>
      </c>
    </row>
    <row r="125" spans="1:8" x14ac:dyDescent="0.25">
      <c r="A125" t="s">
        <v>276</v>
      </c>
      <c r="B125" t="s">
        <v>276</v>
      </c>
      <c r="C125" t="s">
        <v>436</v>
      </c>
      <c r="D125" t="s">
        <v>911</v>
      </c>
      <c r="E125" t="s">
        <v>912</v>
      </c>
      <c r="F125" t="s">
        <v>913</v>
      </c>
      <c r="G125" t="s">
        <v>440</v>
      </c>
      <c r="H125" t="s">
        <v>914</v>
      </c>
    </row>
    <row r="126" spans="1:8" x14ac:dyDescent="0.25">
      <c r="A126" t="s">
        <v>278</v>
      </c>
      <c r="B126" t="s">
        <v>278</v>
      </c>
      <c r="C126" t="s">
        <v>436</v>
      </c>
      <c r="D126" t="s">
        <v>915</v>
      </c>
      <c r="E126" t="s">
        <v>916</v>
      </c>
      <c r="F126" t="s">
        <v>917</v>
      </c>
      <c r="G126" t="s">
        <v>440</v>
      </c>
      <c r="H126" t="s">
        <v>574</v>
      </c>
    </row>
    <row r="127" spans="1:8" x14ac:dyDescent="0.25">
      <c r="A127" t="s">
        <v>280</v>
      </c>
      <c r="B127" t="s">
        <v>280</v>
      </c>
      <c r="C127" t="s">
        <v>436</v>
      </c>
      <c r="D127" t="s">
        <v>918</v>
      </c>
      <c r="E127" t="s">
        <v>919</v>
      </c>
      <c r="F127" t="s">
        <v>920</v>
      </c>
      <c r="G127" t="s">
        <v>921</v>
      </c>
      <c r="H127" t="s">
        <v>922</v>
      </c>
    </row>
    <row r="128" spans="1:8" x14ac:dyDescent="0.25">
      <c r="A128" t="s">
        <v>283</v>
      </c>
      <c r="B128" t="s">
        <v>283</v>
      </c>
      <c r="C128" t="s">
        <v>436</v>
      </c>
      <c r="D128" t="s">
        <v>923</v>
      </c>
      <c r="E128" t="s">
        <v>924</v>
      </c>
      <c r="F128" t="s">
        <v>925</v>
      </c>
      <c r="G128" t="s">
        <v>440</v>
      </c>
      <c r="H128" t="s">
        <v>926</v>
      </c>
    </row>
    <row r="129" spans="1:8" x14ac:dyDescent="0.25">
      <c r="A129" t="s">
        <v>285</v>
      </c>
      <c r="B129" t="s">
        <v>285</v>
      </c>
      <c r="C129" t="s">
        <v>436</v>
      </c>
      <c r="D129" t="s">
        <v>927</v>
      </c>
      <c r="E129" t="s">
        <v>928</v>
      </c>
      <c r="F129" t="s">
        <v>460</v>
      </c>
      <c r="G129" t="s">
        <v>921</v>
      </c>
      <c r="H129" t="s">
        <v>929</v>
      </c>
    </row>
    <row r="130" spans="1:8" x14ac:dyDescent="0.25">
      <c r="A130" t="s">
        <v>287</v>
      </c>
      <c r="B130" t="s">
        <v>287</v>
      </c>
      <c r="C130" t="s">
        <v>436</v>
      </c>
      <c r="D130" t="s">
        <v>930</v>
      </c>
      <c r="E130" t="s">
        <v>931</v>
      </c>
      <c r="F130" t="s">
        <v>932</v>
      </c>
      <c r="G130" t="s">
        <v>440</v>
      </c>
      <c r="H130" t="s">
        <v>933</v>
      </c>
    </row>
    <row r="131" spans="1:8" x14ac:dyDescent="0.25">
      <c r="A131" t="s">
        <v>289</v>
      </c>
      <c r="B131" t="s">
        <v>289</v>
      </c>
      <c r="C131" t="s">
        <v>436</v>
      </c>
      <c r="D131" t="s">
        <v>934</v>
      </c>
      <c r="E131" t="s">
        <v>935</v>
      </c>
      <c r="F131" t="s">
        <v>936</v>
      </c>
      <c r="G131" t="s">
        <v>440</v>
      </c>
      <c r="H131" t="s">
        <v>937</v>
      </c>
    </row>
    <row r="132" spans="1:8" x14ac:dyDescent="0.25">
      <c r="A132" t="s">
        <v>291</v>
      </c>
      <c r="B132" t="s">
        <v>291</v>
      </c>
      <c r="C132" t="s">
        <v>436</v>
      </c>
      <c r="D132" t="s">
        <v>938</v>
      </c>
      <c r="E132" t="s">
        <v>939</v>
      </c>
      <c r="F132" t="s">
        <v>940</v>
      </c>
      <c r="G132" t="s">
        <v>440</v>
      </c>
      <c r="H132" t="s">
        <v>941</v>
      </c>
    </row>
    <row r="133" spans="1:8" x14ac:dyDescent="0.25">
      <c r="A133" t="s">
        <v>293</v>
      </c>
      <c r="B133" t="s">
        <v>293</v>
      </c>
      <c r="C133" t="s">
        <v>436</v>
      </c>
      <c r="D133" t="s">
        <v>942</v>
      </c>
      <c r="E133" t="s">
        <v>613</v>
      </c>
      <c r="F133" t="s">
        <v>943</v>
      </c>
      <c r="G133" t="s">
        <v>440</v>
      </c>
      <c r="H133" t="s">
        <v>944</v>
      </c>
    </row>
    <row r="134" spans="1:8" x14ac:dyDescent="0.25">
      <c r="A134" t="s">
        <v>295</v>
      </c>
      <c r="B134" t="s">
        <v>295</v>
      </c>
      <c r="C134" t="s">
        <v>436</v>
      </c>
      <c r="D134" t="s">
        <v>945</v>
      </c>
      <c r="E134" t="s">
        <v>584</v>
      </c>
      <c r="F134" t="s">
        <v>946</v>
      </c>
      <c r="G134" t="s">
        <v>606</v>
      </c>
      <c r="H134" t="s">
        <v>947</v>
      </c>
    </row>
    <row r="135" spans="1:8" x14ac:dyDescent="0.25">
      <c r="A135" t="s">
        <v>297</v>
      </c>
      <c r="B135" t="s">
        <v>297</v>
      </c>
      <c r="C135" t="s">
        <v>436</v>
      </c>
      <c r="D135" t="s">
        <v>948</v>
      </c>
      <c r="E135" t="s">
        <v>949</v>
      </c>
      <c r="F135" t="s">
        <v>950</v>
      </c>
      <c r="G135" t="s">
        <v>440</v>
      </c>
      <c r="H135" t="s">
        <v>951</v>
      </c>
    </row>
    <row r="136" spans="1:8" x14ac:dyDescent="0.25">
      <c r="A136" t="s">
        <v>299</v>
      </c>
      <c r="B136" t="s">
        <v>299</v>
      </c>
      <c r="C136" t="s">
        <v>436</v>
      </c>
      <c r="D136" t="s">
        <v>952</v>
      </c>
      <c r="E136" t="s">
        <v>953</v>
      </c>
      <c r="F136" t="s">
        <v>954</v>
      </c>
      <c r="G136" t="s">
        <v>440</v>
      </c>
      <c r="H136" t="s">
        <v>955</v>
      </c>
    </row>
    <row r="137" spans="1:8" x14ac:dyDescent="0.25">
      <c r="A137" t="s">
        <v>301</v>
      </c>
      <c r="B137" t="s">
        <v>301</v>
      </c>
      <c r="C137" t="s">
        <v>436</v>
      </c>
      <c r="D137" t="s">
        <v>956</v>
      </c>
      <c r="E137" t="s">
        <v>957</v>
      </c>
      <c r="F137" t="s">
        <v>958</v>
      </c>
      <c r="G137" t="s">
        <v>440</v>
      </c>
      <c r="H137" t="s">
        <v>959</v>
      </c>
    </row>
    <row r="138" spans="1:8" x14ac:dyDescent="0.25">
      <c r="A138" t="s">
        <v>303</v>
      </c>
      <c r="B138" t="s">
        <v>303</v>
      </c>
      <c r="C138" t="s">
        <v>436</v>
      </c>
      <c r="D138" t="s">
        <v>960</v>
      </c>
      <c r="E138" t="s">
        <v>961</v>
      </c>
      <c r="F138" t="s">
        <v>962</v>
      </c>
      <c r="G138" t="s">
        <v>602</v>
      </c>
      <c r="H138" t="s">
        <v>963</v>
      </c>
    </row>
    <row r="139" spans="1:8" x14ac:dyDescent="0.25">
      <c r="A139" t="s">
        <v>305</v>
      </c>
      <c r="B139" t="s">
        <v>305</v>
      </c>
      <c r="C139" t="s">
        <v>436</v>
      </c>
      <c r="D139" t="s">
        <v>964</v>
      </c>
      <c r="E139" t="s">
        <v>965</v>
      </c>
      <c r="F139" t="s">
        <v>966</v>
      </c>
      <c r="G139" t="s">
        <v>440</v>
      </c>
      <c r="H139" t="s">
        <v>967</v>
      </c>
    </row>
    <row r="140" spans="1:8" x14ac:dyDescent="0.25">
      <c r="A140" t="s">
        <v>309</v>
      </c>
      <c r="B140" t="s">
        <v>309</v>
      </c>
      <c r="C140" t="s">
        <v>436</v>
      </c>
      <c r="D140" t="s">
        <v>968</v>
      </c>
      <c r="E140" t="s">
        <v>969</v>
      </c>
      <c r="F140" t="s">
        <v>970</v>
      </c>
      <c r="G140" t="s">
        <v>440</v>
      </c>
      <c r="H140" t="s">
        <v>971</v>
      </c>
    </row>
    <row r="141" spans="1:8" x14ac:dyDescent="0.25">
      <c r="A141" t="s">
        <v>311</v>
      </c>
      <c r="B141" t="s">
        <v>311</v>
      </c>
      <c r="C141" t="s">
        <v>436</v>
      </c>
      <c r="D141" t="s">
        <v>972</v>
      </c>
      <c r="E141" t="s">
        <v>973</v>
      </c>
      <c r="F141" t="s">
        <v>974</v>
      </c>
      <c r="G141" t="s">
        <v>440</v>
      </c>
      <c r="H141" t="s">
        <v>975</v>
      </c>
    </row>
    <row r="142" spans="1:8" x14ac:dyDescent="0.25">
      <c r="A142" t="s">
        <v>313</v>
      </c>
      <c r="B142" t="s">
        <v>313</v>
      </c>
      <c r="C142" t="s">
        <v>436</v>
      </c>
      <c r="D142" t="s">
        <v>976</v>
      </c>
      <c r="E142" t="s">
        <v>977</v>
      </c>
      <c r="F142" t="s">
        <v>978</v>
      </c>
      <c r="G142" t="s">
        <v>440</v>
      </c>
      <c r="H142" t="s">
        <v>979</v>
      </c>
    </row>
    <row r="143" spans="1:8" x14ac:dyDescent="0.25">
      <c r="A143" t="s">
        <v>315</v>
      </c>
      <c r="B143" t="s">
        <v>315</v>
      </c>
      <c r="C143" t="s">
        <v>436</v>
      </c>
      <c r="D143" t="s">
        <v>980</v>
      </c>
      <c r="E143" t="s">
        <v>584</v>
      </c>
      <c r="F143" t="s">
        <v>460</v>
      </c>
      <c r="G143" t="s">
        <v>461</v>
      </c>
      <c r="H143" t="s">
        <v>639</v>
      </c>
    </row>
    <row r="144" spans="1:8" x14ac:dyDescent="0.25">
      <c r="A144" t="s">
        <v>317</v>
      </c>
      <c r="B144" t="s">
        <v>317</v>
      </c>
      <c r="C144" t="s">
        <v>436</v>
      </c>
      <c r="D144" t="s">
        <v>981</v>
      </c>
      <c r="E144" t="s">
        <v>982</v>
      </c>
      <c r="F144" t="s">
        <v>983</v>
      </c>
      <c r="G144" t="s">
        <v>440</v>
      </c>
      <c r="H144" t="s">
        <v>802</v>
      </c>
    </row>
    <row r="145" spans="1:8" x14ac:dyDescent="0.25">
      <c r="A145" t="s">
        <v>319</v>
      </c>
      <c r="B145" t="s">
        <v>319</v>
      </c>
      <c r="C145" t="s">
        <v>436</v>
      </c>
      <c r="D145" t="s">
        <v>984</v>
      </c>
      <c r="E145" t="s">
        <v>985</v>
      </c>
      <c r="F145" t="s">
        <v>986</v>
      </c>
      <c r="G145" t="s">
        <v>440</v>
      </c>
      <c r="H145" t="s">
        <v>802</v>
      </c>
    </row>
    <row r="146" spans="1:8" x14ac:dyDescent="0.25">
      <c r="A146" t="s">
        <v>321</v>
      </c>
      <c r="B146" t="s">
        <v>321</v>
      </c>
      <c r="C146" t="s">
        <v>436</v>
      </c>
      <c r="D146" t="s">
        <v>987</v>
      </c>
      <c r="E146" t="s">
        <v>988</v>
      </c>
      <c r="F146" t="s">
        <v>989</v>
      </c>
      <c r="G146" t="s">
        <v>440</v>
      </c>
      <c r="H146" t="s">
        <v>990</v>
      </c>
    </row>
    <row r="147" spans="1:8" x14ac:dyDescent="0.25">
      <c r="A147" t="s">
        <v>324</v>
      </c>
      <c r="B147" t="s">
        <v>324</v>
      </c>
      <c r="C147" t="s">
        <v>436</v>
      </c>
      <c r="D147" t="s">
        <v>991</v>
      </c>
      <c r="E147" t="s">
        <v>992</v>
      </c>
      <c r="F147" t="s">
        <v>993</v>
      </c>
      <c r="G147" t="s">
        <v>440</v>
      </c>
      <c r="H147" t="s">
        <v>994</v>
      </c>
    </row>
    <row r="148" spans="1:8" x14ac:dyDescent="0.25">
      <c r="A148" t="s">
        <v>326</v>
      </c>
      <c r="B148" t="s">
        <v>326</v>
      </c>
      <c r="C148" t="s">
        <v>436</v>
      </c>
      <c r="D148" t="s">
        <v>995</v>
      </c>
      <c r="E148" t="s">
        <v>996</v>
      </c>
      <c r="F148" t="s">
        <v>997</v>
      </c>
      <c r="G148" t="s">
        <v>440</v>
      </c>
      <c r="H148" t="s">
        <v>998</v>
      </c>
    </row>
    <row r="149" spans="1:8" x14ac:dyDescent="0.25">
      <c r="A149" t="s">
        <v>329</v>
      </c>
      <c r="B149" t="s">
        <v>329</v>
      </c>
      <c r="C149" t="s">
        <v>436</v>
      </c>
      <c r="D149" t="s">
        <v>999</v>
      </c>
      <c r="E149" t="s">
        <v>1000</v>
      </c>
      <c r="F149" t="s">
        <v>1001</v>
      </c>
      <c r="G149" t="s">
        <v>440</v>
      </c>
      <c r="H149" t="s">
        <v>1002</v>
      </c>
    </row>
    <row r="150" spans="1:8" x14ac:dyDescent="0.25">
      <c r="A150" t="s">
        <v>331</v>
      </c>
      <c r="B150" t="s">
        <v>331</v>
      </c>
      <c r="C150" t="s">
        <v>436</v>
      </c>
      <c r="D150" t="s">
        <v>1003</v>
      </c>
      <c r="E150" t="s">
        <v>617</v>
      </c>
      <c r="F150" t="s">
        <v>1004</v>
      </c>
      <c r="G150" t="s">
        <v>440</v>
      </c>
      <c r="H150" t="s">
        <v>1005</v>
      </c>
    </row>
    <row r="151" spans="1:8" x14ac:dyDescent="0.25">
      <c r="A151" t="s">
        <v>333</v>
      </c>
      <c r="B151" t="s">
        <v>333</v>
      </c>
      <c r="C151" t="s">
        <v>436</v>
      </c>
      <c r="D151" t="s">
        <v>1006</v>
      </c>
      <c r="E151" t="s">
        <v>1007</v>
      </c>
      <c r="F151" t="s">
        <v>1008</v>
      </c>
      <c r="G151" t="s">
        <v>440</v>
      </c>
      <c r="H151" t="s">
        <v>1009</v>
      </c>
    </row>
    <row r="152" spans="1:8" x14ac:dyDescent="0.25">
      <c r="A152" t="s">
        <v>335</v>
      </c>
      <c r="B152" t="s">
        <v>335</v>
      </c>
      <c r="C152" t="s">
        <v>436</v>
      </c>
      <c r="D152" t="s">
        <v>1010</v>
      </c>
      <c r="E152" t="s">
        <v>1011</v>
      </c>
      <c r="F152" t="s">
        <v>1012</v>
      </c>
      <c r="G152" t="s">
        <v>440</v>
      </c>
      <c r="H152" t="s">
        <v>705</v>
      </c>
    </row>
    <row r="153" spans="1:8" x14ac:dyDescent="0.25">
      <c r="A153" t="s">
        <v>337</v>
      </c>
      <c r="B153" t="s">
        <v>337</v>
      </c>
      <c r="C153" t="s">
        <v>436</v>
      </c>
      <c r="D153" t="s">
        <v>1013</v>
      </c>
      <c r="E153" t="s">
        <v>1014</v>
      </c>
      <c r="F153" t="s">
        <v>1015</v>
      </c>
      <c r="G153" t="s">
        <v>440</v>
      </c>
      <c r="H153" t="s">
        <v>1016</v>
      </c>
    </row>
    <row r="154" spans="1:8" x14ac:dyDescent="0.25">
      <c r="A154" t="s">
        <v>339</v>
      </c>
      <c r="B154" t="s">
        <v>339</v>
      </c>
      <c r="C154" t="s">
        <v>436</v>
      </c>
      <c r="D154" t="s">
        <v>1017</v>
      </c>
      <c r="E154" t="s">
        <v>1018</v>
      </c>
      <c r="F154" t="s">
        <v>1019</v>
      </c>
      <c r="G154" t="s">
        <v>440</v>
      </c>
      <c r="H154" t="s">
        <v>1020</v>
      </c>
    </row>
    <row r="155" spans="1:8" x14ac:dyDescent="0.25">
      <c r="A155" t="s">
        <v>341</v>
      </c>
      <c r="B155" t="s">
        <v>341</v>
      </c>
      <c r="C155" t="s">
        <v>436</v>
      </c>
      <c r="D155" t="s">
        <v>1021</v>
      </c>
      <c r="E155" t="s">
        <v>1022</v>
      </c>
      <c r="F155" t="s">
        <v>1023</v>
      </c>
      <c r="G155" t="s">
        <v>440</v>
      </c>
      <c r="H155" t="s">
        <v>1024</v>
      </c>
    </row>
    <row r="156" spans="1:8" x14ac:dyDescent="0.25">
      <c r="A156" t="s">
        <v>343</v>
      </c>
      <c r="B156" t="s">
        <v>343</v>
      </c>
      <c r="C156" t="s">
        <v>436</v>
      </c>
      <c r="D156" t="s">
        <v>1025</v>
      </c>
      <c r="E156" t="s">
        <v>1026</v>
      </c>
      <c r="F156" t="s">
        <v>1027</v>
      </c>
      <c r="G156" t="s">
        <v>440</v>
      </c>
      <c r="H156" t="s">
        <v>1028</v>
      </c>
    </row>
    <row r="157" spans="1:8" x14ac:dyDescent="0.25">
      <c r="A157" t="s">
        <v>346</v>
      </c>
      <c r="B157" t="s">
        <v>346</v>
      </c>
      <c r="C157" t="s">
        <v>436</v>
      </c>
      <c r="D157" t="s">
        <v>1029</v>
      </c>
      <c r="E157" t="s">
        <v>1030</v>
      </c>
      <c r="F157" t="s">
        <v>1031</v>
      </c>
      <c r="G157" t="s">
        <v>440</v>
      </c>
      <c r="H157" t="s">
        <v>1032</v>
      </c>
    </row>
    <row r="158" spans="1:8" x14ac:dyDescent="0.25">
      <c r="A158" t="s">
        <v>348</v>
      </c>
      <c r="B158" t="s">
        <v>348</v>
      </c>
      <c r="C158" t="s">
        <v>436</v>
      </c>
      <c r="D158" t="s">
        <v>1033</v>
      </c>
      <c r="E158" t="s">
        <v>584</v>
      </c>
      <c r="F158" t="s">
        <v>460</v>
      </c>
      <c r="G158" t="s">
        <v>461</v>
      </c>
      <c r="H158" t="s">
        <v>1034</v>
      </c>
    </row>
    <row r="159" spans="1:8" x14ac:dyDescent="0.25">
      <c r="A159" t="s">
        <v>350</v>
      </c>
      <c r="B159" t="s">
        <v>350</v>
      </c>
      <c r="C159" t="s">
        <v>436</v>
      </c>
      <c r="D159" t="s">
        <v>1035</v>
      </c>
      <c r="E159" t="s">
        <v>1036</v>
      </c>
      <c r="F159" t="s">
        <v>1037</v>
      </c>
      <c r="G159" t="s">
        <v>1038</v>
      </c>
      <c r="H159" t="s">
        <v>1039</v>
      </c>
    </row>
    <row r="160" spans="1:8" x14ac:dyDescent="0.25">
      <c r="A160" t="s">
        <v>352</v>
      </c>
      <c r="B160" t="s">
        <v>352</v>
      </c>
      <c r="C160" t="s">
        <v>436</v>
      </c>
      <c r="D160" t="s">
        <v>1040</v>
      </c>
      <c r="E160" t="s">
        <v>1041</v>
      </c>
      <c r="F160" t="s">
        <v>1042</v>
      </c>
      <c r="G160" t="s">
        <v>440</v>
      </c>
      <c r="H160" t="s">
        <v>1043</v>
      </c>
    </row>
    <row r="161" spans="1:8" x14ac:dyDescent="0.25">
      <c r="A161" t="s">
        <v>355</v>
      </c>
      <c r="B161" t="s">
        <v>355</v>
      </c>
      <c r="C161" t="s">
        <v>436</v>
      </c>
      <c r="D161" t="s">
        <v>1044</v>
      </c>
      <c r="E161" t="s">
        <v>1045</v>
      </c>
      <c r="F161" t="s">
        <v>1046</v>
      </c>
      <c r="G161" t="s">
        <v>440</v>
      </c>
      <c r="H161" t="s">
        <v>818</v>
      </c>
    </row>
    <row r="162" spans="1:8" x14ac:dyDescent="0.25">
      <c r="A162" t="s">
        <v>357</v>
      </c>
      <c r="B162" t="s">
        <v>357</v>
      </c>
      <c r="C162" t="s">
        <v>436</v>
      </c>
      <c r="D162" t="s">
        <v>1047</v>
      </c>
      <c r="E162" t="s">
        <v>1048</v>
      </c>
      <c r="F162" t="s">
        <v>1049</v>
      </c>
      <c r="G162" t="s">
        <v>440</v>
      </c>
      <c r="H162" t="s">
        <v>1050</v>
      </c>
    </row>
    <row r="163" spans="1:8" x14ac:dyDescent="0.25">
      <c r="A163" t="s">
        <v>359</v>
      </c>
      <c r="B163" t="s">
        <v>359</v>
      </c>
      <c r="C163" t="s">
        <v>436</v>
      </c>
      <c r="D163" t="s">
        <v>1051</v>
      </c>
      <c r="E163" t="s">
        <v>1052</v>
      </c>
      <c r="F163" t="s">
        <v>1053</v>
      </c>
      <c r="G163" t="s">
        <v>440</v>
      </c>
      <c r="H163" t="s">
        <v>1054</v>
      </c>
    </row>
    <row r="164" spans="1:8" x14ac:dyDescent="0.25">
      <c r="A164" t="s">
        <v>361</v>
      </c>
      <c r="B164" t="s">
        <v>361</v>
      </c>
      <c r="C164" t="s">
        <v>436</v>
      </c>
      <c r="D164" t="s">
        <v>1055</v>
      </c>
      <c r="E164" t="s">
        <v>919</v>
      </c>
      <c r="F164" t="s">
        <v>920</v>
      </c>
      <c r="G164" t="s">
        <v>921</v>
      </c>
      <c r="H164" t="s">
        <v>1056</v>
      </c>
    </row>
    <row r="165" spans="1:8" x14ac:dyDescent="0.25">
      <c r="A165" t="s">
        <v>363</v>
      </c>
      <c r="B165" t="s">
        <v>363</v>
      </c>
      <c r="C165" t="s">
        <v>436</v>
      </c>
      <c r="D165" t="s">
        <v>1057</v>
      </c>
      <c r="E165" t="s">
        <v>1058</v>
      </c>
      <c r="F165" t="s">
        <v>1059</v>
      </c>
      <c r="G165" t="s">
        <v>440</v>
      </c>
      <c r="H165" t="s">
        <v>1060</v>
      </c>
    </row>
    <row r="166" spans="1:8" x14ac:dyDescent="0.25">
      <c r="A166" t="s">
        <v>365</v>
      </c>
      <c r="B166" t="s">
        <v>365</v>
      </c>
      <c r="C166" t="s">
        <v>436</v>
      </c>
      <c r="D166" t="s">
        <v>1061</v>
      </c>
      <c r="E166" t="s">
        <v>584</v>
      </c>
      <c r="F166" t="s">
        <v>1062</v>
      </c>
      <c r="G166" t="s">
        <v>606</v>
      </c>
      <c r="H166" t="s">
        <v>554</v>
      </c>
    </row>
    <row r="167" spans="1:8" x14ac:dyDescent="0.25">
      <c r="A167" t="s">
        <v>367</v>
      </c>
      <c r="B167" t="s">
        <v>367</v>
      </c>
      <c r="C167" t="s">
        <v>436</v>
      </c>
      <c r="D167" t="s">
        <v>1063</v>
      </c>
      <c r="E167" t="s">
        <v>1064</v>
      </c>
      <c r="F167" t="s">
        <v>1065</v>
      </c>
      <c r="G167" t="s">
        <v>440</v>
      </c>
      <c r="H167" t="s">
        <v>1066</v>
      </c>
    </row>
    <row r="168" spans="1:8" x14ac:dyDescent="0.25">
      <c r="A168" t="s">
        <v>369</v>
      </c>
      <c r="B168" t="s">
        <v>369</v>
      </c>
      <c r="C168" t="s">
        <v>436</v>
      </c>
      <c r="D168" t="s">
        <v>1067</v>
      </c>
      <c r="E168" t="s">
        <v>1068</v>
      </c>
      <c r="F168" t="s">
        <v>1069</v>
      </c>
      <c r="G168" t="s">
        <v>440</v>
      </c>
      <c r="H168" t="s">
        <v>914</v>
      </c>
    </row>
    <row r="169" spans="1:8" x14ac:dyDescent="0.25">
      <c r="A169" t="s">
        <v>371</v>
      </c>
      <c r="B169" t="s">
        <v>371</v>
      </c>
      <c r="C169" t="s">
        <v>436</v>
      </c>
      <c r="D169" t="s">
        <v>1070</v>
      </c>
      <c r="E169" t="s">
        <v>1071</v>
      </c>
      <c r="F169" t="s">
        <v>1072</v>
      </c>
      <c r="G169" t="s">
        <v>440</v>
      </c>
      <c r="H169" t="s">
        <v>1073</v>
      </c>
    </row>
    <row r="170" spans="1:8" x14ac:dyDescent="0.25">
      <c r="A170" t="s">
        <v>373</v>
      </c>
      <c r="B170" t="s">
        <v>373</v>
      </c>
      <c r="C170" t="s">
        <v>436</v>
      </c>
      <c r="D170" t="s">
        <v>1074</v>
      </c>
      <c r="E170" t="s">
        <v>1075</v>
      </c>
      <c r="F170" t="s">
        <v>1076</v>
      </c>
      <c r="G170" t="s">
        <v>440</v>
      </c>
      <c r="H170" t="s">
        <v>1077</v>
      </c>
    </row>
    <row r="171" spans="1:8" x14ac:dyDescent="0.25">
      <c r="A171" t="s">
        <v>375</v>
      </c>
      <c r="B171" t="s">
        <v>375</v>
      </c>
      <c r="C171" t="s">
        <v>436</v>
      </c>
      <c r="D171" t="s">
        <v>1078</v>
      </c>
      <c r="E171" t="s">
        <v>1079</v>
      </c>
      <c r="F171" t="s">
        <v>1080</v>
      </c>
      <c r="G171" t="s">
        <v>440</v>
      </c>
      <c r="H171" t="s">
        <v>1081</v>
      </c>
    </row>
    <row r="172" spans="1:8" x14ac:dyDescent="0.25">
      <c r="A172" t="s">
        <v>377</v>
      </c>
      <c r="B172" t="s">
        <v>377</v>
      </c>
      <c r="C172" t="s">
        <v>436</v>
      </c>
      <c r="D172" t="s">
        <v>1082</v>
      </c>
      <c r="E172" t="s">
        <v>1083</v>
      </c>
      <c r="F172" t="s">
        <v>1084</v>
      </c>
      <c r="G172" t="s">
        <v>440</v>
      </c>
      <c r="H172" t="s">
        <v>1073</v>
      </c>
    </row>
    <row r="173" spans="1:8" x14ac:dyDescent="0.25">
      <c r="A173" t="s">
        <v>379</v>
      </c>
      <c r="B173" t="s">
        <v>379</v>
      </c>
      <c r="C173" t="s">
        <v>436</v>
      </c>
      <c r="D173" t="s">
        <v>1085</v>
      </c>
      <c r="E173" t="s">
        <v>816</v>
      </c>
      <c r="F173" t="s">
        <v>1086</v>
      </c>
      <c r="G173" t="s">
        <v>440</v>
      </c>
      <c r="H173" t="s">
        <v>1087</v>
      </c>
    </row>
    <row r="174" spans="1:8" x14ac:dyDescent="0.25">
      <c r="A174" t="s">
        <v>381</v>
      </c>
      <c r="B174" t="s">
        <v>381</v>
      </c>
      <c r="C174" t="s">
        <v>436</v>
      </c>
      <c r="D174" t="s">
        <v>1088</v>
      </c>
      <c r="E174" t="s">
        <v>1089</v>
      </c>
      <c r="F174" t="s">
        <v>1090</v>
      </c>
      <c r="G174" t="s">
        <v>440</v>
      </c>
      <c r="H174" t="s">
        <v>1091</v>
      </c>
    </row>
    <row r="175" spans="1:8" x14ac:dyDescent="0.25">
      <c r="A175" t="s">
        <v>383</v>
      </c>
      <c r="B175" t="s">
        <v>383</v>
      </c>
      <c r="C175" t="s">
        <v>436</v>
      </c>
      <c r="D175" t="s">
        <v>1092</v>
      </c>
      <c r="E175" t="s">
        <v>1093</v>
      </c>
      <c r="F175" t="s">
        <v>1094</v>
      </c>
      <c r="G175" t="s">
        <v>440</v>
      </c>
      <c r="H175" t="s">
        <v>1095</v>
      </c>
    </row>
    <row r="176" spans="1:8" x14ac:dyDescent="0.25">
      <c r="A176" t="s">
        <v>386</v>
      </c>
      <c r="B176" t="s">
        <v>386</v>
      </c>
      <c r="C176" t="s">
        <v>436</v>
      </c>
      <c r="D176" t="s">
        <v>1096</v>
      </c>
      <c r="E176" t="s">
        <v>1097</v>
      </c>
      <c r="F176" t="s">
        <v>1098</v>
      </c>
      <c r="G176" t="s">
        <v>440</v>
      </c>
      <c r="H176" t="s">
        <v>1099</v>
      </c>
    </row>
    <row r="177" spans="1:8" x14ac:dyDescent="0.25">
      <c r="A177" t="s">
        <v>388</v>
      </c>
      <c r="B177" t="s">
        <v>388</v>
      </c>
      <c r="C177" t="s">
        <v>436</v>
      </c>
      <c r="D177" t="s">
        <v>1100</v>
      </c>
      <c r="E177" t="s">
        <v>1101</v>
      </c>
      <c r="F177" t="s">
        <v>1102</v>
      </c>
      <c r="G177" t="s">
        <v>440</v>
      </c>
      <c r="H177" t="s">
        <v>643</v>
      </c>
    </row>
    <row r="178" spans="1:8" x14ac:dyDescent="0.25">
      <c r="A178" t="s">
        <v>390</v>
      </c>
      <c r="B178" t="s">
        <v>390</v>
      </c>
      <c r="C178" t="s">
        <v>436</v>
      </c>
      <c r="D178" t="s">
        <v>1103</v>
      </c>
      <c r="E178" t="s">
        <v>1104</v>
      </c>
      <c r="F178" t="s">
        <v>1105</v>
      </c>
      <c r="G178" t="s">
        <v>440</v>
      </c>
      <c r="H178" t="s">
        <v>951</v>
      </c>
    </row>
    <row r="179" spans="1:8" x14ac:dyDescent="0.25">
      <c r="A179" t="s">
        <v>392</v>
      </c>
      <c r="B179" t="s">
        <v>392</v>
      </c>
      <c r="C179" t="s">
        <v>436</v>
      </c>
      <c r="D179" t="s">
        <v>1106</v>
      </c>
      <c r="E179" t="s">
        <v>1107</v>
      </c>
      <c r="F179" t="s">
        <v>1108</v>
      </c>
      <c r="G179" t="s">
        <v>440</v>
      </c>
      <c r="H179" t="s">
        <v>1109</v>
      </c>
    </row>
    <row r="180" spans="1:8" x14ac:dyDescent="0.25">
      <c r="A180" t="s">
        <v>394</v>
      </c>
      <c r="B180" t="s">
        <v>394</v>
      </c>
      <c r="C180" t="s">
        <v>436</v>
      </c>
      <c r="D180" t="s">
        <v>1110</v>
      </c>
      <c r="E180" t="s">
        <v>1111</v>
      </c>
      <c r="F180" t="s">
        <v>1112</v>
      </c>
      <c r="G180" t="s">
        <v>440</v>
      </c>
      <c r="H180" t="s">
        <v>1113</v>
      </c>
    </row>
    <row r="181" spans="1:8" x14ac:dyDescent="0.25">
      <c r="A181" t="s">
        <v>396</v>
      </c>
      <c r="B181" t="s">
        <v>396</v>
      </c>
      <c r="C181" t="s">
        <v>436</v>
      </c>
      <c r="D181" t="s">
        <v>1114</v>
      </c>
      <c r="E181" t="s">
        <v>1115</v>
      </c>
      <c r="F181" t="s">
        <v>1116</v>
      </c>
      <c r="G181" t="s">
        <v>440</v>
      </c>
      <c r="H181" t="s">
        <v>1117</v>
      </c>
    </row>
    <row r="182" spans="1:8" x14ac:dyDescent="0.25">
      <c r="A182" t="s">
        <v>398</v>
      </c>
      <c r="B182" t="s">
        <v>398</v>
      </c>
      <c r="C182" t="s">
        <v>436</v>
      </c>
      <c r="D182" t="s">
        <v>1118</v>
      </c>
      <c r="E182" t="s">
        <v>584</v>
      </c>
      <c r="F182" t="s">
        <v>1119</v>
      </c>
      <c r="G182" t="s">
        <v>602</v>
      </c>
      <c r="H182" t="s">
        <v>1120</v>
      </c>
    </row>
    <row r="183" spans="1:8" x14ac:dyDescent="0.25">
      <c r="A183" t="s">
        <v>400</v>
      </c>
      <c r="B183" t="s">
        <v>400</v>
      </c>
      <c r="C183" t="s">
        <v>436</v>
      </c>
      <c r="D183" t="s">
        <v>1121</v>
      </c>
      <c r="E183" t="s">
        <v>1122</v>
      </c>
      <c r="F183" t="s">
        <v>1123</v>
      </c>
      <c r="G183" t="s">
        <v>440</v>
      </c>
      <c r="H183" t="s">
        <v>1124</v>
      </c>
    </row>
    <row r="184" spans="1:8" x14ac:dyDescent="0.25">
      <c r="A184" t="s">
        <v>402</v>
      </c>
      <c r="B184" t="s">
        <v>402</v>
      </c>
      <c r="C184" t="s">
        <v>436</v>
      </c>
      <c r="D184" t="s">
        <v>1125</v>
      </c>
      <c r="E184" t="s">
        <v>1126</v>
      </c>
      <c r="F184" t="s">
        <v>1127</v>
      </c>
      <c r="G184" t="s">
        <v>440</v>
      </c>
      <c r="H184" t="s">
        <v>1128</v>
      </c>
    </row>
    <row r="185" spans="1:8" x14ac:dyDescent="0.25">
      <c r="A185" t="s">
        <v>405</v>
      </c>
      <c r="B185" t="s">
        <v>405</v>
      </c>
      <c r="C185" t="s">
        <v>436</v>
      </c>
      <c r="D185" t="s">
        <v>1129</v>
      </c>
      <c r="E185" t="s">
        <v>1130</v>
      </c>
      <c r="F185" t="s">
        <v>1131</v>
      </c>
      <c r="G185" t="s">
        <v>440</v>
      </c>
      <c r="H185" t="s">
        <v>1132</v>
      </c>
    </row>
    <row r="186" spans="1:8" x14ac:dyDescent="0.25">
      <c r="A186" t="s">
        <v>407</v>
      </c>
      <c r="B186" t="s">
        <v>407</v>
      </c>
      <c r="C186" t="s">
        <v>436</v>
      </c>
      <c r="D186" t="s">
        <v>1133</v>
      </c>
      <c r="E186" t="s">
        <v>1134</v>
      </c>
      <c r="F186" t="s">
        <v>1135</v>
      </c>
      <c r="G186" t="s">
        <v>440</v>
      </c>
      <c r="H186" t="s">
        <v>1136</v>
      </c>
    </row>
    <row r="187" spans="1:8" x14ac:dyDescent="0.25">
      <c r="A187" t="s">
        <v>409</v>
      </c>
      <c r="B187" t="s">
        <v>409</v>
      </c>
      <c r="C187" t="s">
        <v>436</v>
      </c>
      <c r="D187" t="s">
        <v>1137</v>
      </c>
      <c r="E187" t="s">
        <v>1138</v>
      </c>
      <c r="F187" t="s">
        <v>1139</v>
      </c>
      <c r="G187" t="s">
        <v>606</v>
      </c>
      <c r="H187" t="s">
        <v>1140</v>
      </c>
    </row>
    <row r="188" spans="1:8" x14ac:dyDescent="0.25">
      <c r="A188" t="s">
        <v>411</v>
      </c>
      <c r="B188" t="s">
        <v>411</v>
      </c>
      <c r="C188" t="s">
        <v>436</v>
      </c>
      <c r="D188" t="s">
        <v>1141</v>
      </c>
      <c r="E188" t="s">
        <v>719</v>
      </c>
      <c r="F188" t="s">
        <v>1142</v>
      </c>
      <c r="G188" t="s">
        <v>440</v>
      </c>
      <c r="H188" t="s">
        <v>1143</v>
      </c>
    </row>
    <row r="189" spans="1:8" x14ac:dyDescent="0.25">
      <c r="A189" t="s">
        <v>413</v>
      </c>
      <c r="B189" t="s">
        <v>413</v>
      </c>
      <c r="C189" t="s">
        <v>436</v>
      </c>
      <c r="D189" t="s">
        <v>1144</v>
      </c>
      <c r="E189" t="s">
        <v>1145</v>
      </c>
      <c r="F189" t="s">
        <v>1146</v>
      </c>
      <c r="G189" t="s">
        <v>440</v>
      </c>
      <c r="H189" t="s">
        <v>1147</v>
      </c>
    </row>
    <row r="190" spans="1:8" x14ac:dyDescent="0.25">
      <c r="A190" t="s">
        <v>415</v>
      </c>
      <c r="B190" t="s">
        <v>415</v>
      </c>
      <c r="C190" t="s">
        <v>436</v>
      </c>
      <c r="D190" t="s">
        <v>1148</v>
      </c>
      <c r="E190" t="s">
        <v>1149</v>
      </c>
      <c r="F190" t="s">
        <v>1150</v>
      </c>
      <c r="G190" t="s">
        <v>440</v>
      </c>
      <c r="H190" t="s">
        <v>1151</v>
      </c>
    </row>
    <row r="191" spans="1:8" x14ac:dyDescent="0.25">
      <c r="A191" t="s">
        <v>417</v>
      </c>
      <c r="B191" t="s">
        <v>417</v>
      </c>
      <c r="C191" t="s">
        <v>436</v>
      </c>
      <c r="D191" t="s">
        <v>1152</v>
      </c>
      <c r="E191" t="s">
        <v>1153</v>
      </c>
      <c r="F191" t="s">
        <v>1135</v>
      </c>
      <c r="G191" t="s">
        <v>440</v>
      </c>
      <c r="H191" t="s">
        <v>990</v>
      </c>
    </row>
    <row r="192" spans="1:8" x14ac:dyDescent="0.25">
      <c r="A192" t="s">
        <v>419</v>
      </c>
      <c r="B192" t="s">
        <v>419</v>
      </c>
      <c r="C192" t="s">
        <v>436</v>
      </c>
      <c r="D192" t="s">
        <v>1154</v>
      </c>
      <c r="E192" t="s">
        <v>1155</v>
      </c>
      <c r="F192" t="s">
        <v>1156</v>
      </c>
      <c r="G192" t="s">
        <v>440</v>
      </c>
      <c r="H192" t="s">
        <v>1157</v>
      </c>
    </row>
    <row r="193" spans="1:8" x14ac:dyDescent="0.25">
      <c r="A193" t="s">
        <v>421</v>
      </c>
      <c r="B193" t="s">
        <v>421</v>
      </c>
      <c r="C193" t="s">
        <v>436</v>
      </c>
      <c r="D193" t="s">
        <v>1158</v>
      </c>
      <c r="E193" t="s">
        <v>1159</v>
      </c>
      <c r="F193" t="s">
        <v>1160</v>
      </c>
      <c r="G193" t="s">
        <v>440</v>
      </c>
      <c r="H193" t="s">
        <v>1161</v>
      </c>
    </row>
    <row r="194" spans="1:8" x14ac:dyDescent="0.25">
      <c r="A194" t="s">
        <v>423</v>
      </c>
      <c r="B194" t="s">
        <v>423</v>
      </c>
      <c r="C194" t="s">
        <v>436</v>
      </c>
      <c r="D194" t="s">
        <v>1162</v>
      </c>
      <c r="E194" t="s">
        <v>584</v>
      </c>
      <c r="F194" t="s">
        <v>1163</v>
      </c>
      <c r="G194" t="s">
        <v>602</v>
      </c>
      <c r="H194" t="s">
        <v>1164</v>
      </c>
    </row>
    <row r="195" spans="1:8" x14ac:dyDescent="0.25">
      <c r="A195" t="s">
        <v>425</v>
      </c>
      <c r="B195" t="s">
        <v>425</v>
      </c>
      <c r="C195" t="s">
        <v>436</v>
      </c>
      <c r="D195" t="s">
        <v>1165</v>
      </c>
      <c r="E195" t="s">
        <v>1166</v>
      </c>
      <c r="F195" t="s">
        <v>460</v>
      </c>
      <c r="G195" t="s">
        <v>461</v>
      </c>
      <c r="H195" t="s">
        <v>1167</v>
      </c>
    </row>
    <row r="196" spans="1:8" x14ac:dyDescent="0.25">
      <c r="A196" t="s">
        <v>427</v>
      </c>
      <c r="B196" t="s">
        <v>427</v>
      </c>
      <c r="C196" t="s">
        <v>436</v>
      </c>
      <c r="D196" t="s">
        <v>1168</v>
      </c>
      <c r="E196" t="s">
        <v>1089</v>
      </c>
      <c r="F196" t="s">
        <v>1169</v>
      </c>
      <c r="G196" t="s">
        <v>440</v>
      </c>
      <c r="H196" t="s">
        <v>1170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DE_results_with_protein_namess</vt:lpstr>
      <vt:lpstr>Supplementary Table Data</vt:lpstr>
      <vt:lpstr>Sheet2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subject>Differential Expression analysis results</dc:subject>
  <dc:creator>Hamish Gruffydd Williams</dc:creator>
  <cp:keywords>Important Results;Chapter 1;PhD Thesis</cp:keywords>
  <cp:lastModifiedBy>WILLIAMS, HAMISH (PGR)</cp:lastModifiedBy>
  <dcterms:created xsi:type="dcterms:W3CDTF">2026-04-03T11:19:33Z</dcterms:created>
  <dcterms:modified xsi:type="dcterms:W3CDTF">2026-04-03T15:14:38Z</dcterms:modified>
</cp:coreProperties>
</file>