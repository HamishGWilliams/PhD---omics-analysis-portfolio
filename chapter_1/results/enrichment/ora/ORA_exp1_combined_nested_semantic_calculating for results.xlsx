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PhD---omics-analysis-portfolio/chapter_1/results/enrichment/ora/"/>
    </mc:Choice>
  </mc:AlternateContent>
  <xr:revisionPtr revIDLastSave="2" documentId="8_{109B395F-3E81-40E1-ACBD-0118D358A86B}" xr6:coauthVersionLast="47" xr6:coauthVersionMax="47" xr10:uidLastSave="{AD4DB366-95DF-413A-9C2C-408C29E0B71E}"/>
  <bookViews>
    <workbookView xWindow="28680" yWindow="-120" windowWidth="29040" windowHeight="15720" xr2:uid="{C6F4A34B-F9DE-4412-96A4-16A0C34228C8}"/>
  </bookViews>
  <sheets>
    <sheet name="ORA_exp1_combined_nested_semant" sheetId="1" r:id="rId1"/>
  </sheets>
  <definedNames>
    <definedName name="_xlnm._FilterDatabase" localSheetId="0" hidden="1">ORA_exp1_combined_nested_semant!$A$1:$M$83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13" i="1"/>
  <c r="L30" i="1"/>
  <c r="L64" i="1"/>
  <c r="L71" i="1"/>
  <c r="L36" i="1"/>
</calcChain>
</file>

<file path=xl/sharedStrings.xml><?xml version="1.0" encoding="utf-8"?>
<sst xmlns="http://schemas.openxmlformats.org/spreadsheetml/2006/main" count="524" uniqueCount="324">
  <si>
    <t>ID</t>
  </si>
  <si>
    <t>Description</t>
  </si>
  <si>
    <t>Description_QuickGO</t>
  </si>
  <si>
    <t>GeneRatio</t>
  </si>
  <si>
    <t>BgRatio</t>
  </si>
  <si>
    <t>pvalue</t>
  </si>
  <si>
    <t>p.adjust</t>
  </si>
  <si>
    <t>qvalue</t>
  </si>
  <si>
    <t>geneID</t>
  </si>
  <si>
    <t>Count</t>
  </si>
  <si>
    <t>GO</t>
  </si>
  <si>
    <t>log2FoldChange</t>
  </si>
  <si>
    <t>Representative_GO</t>
  </si>
  <si>
    <t>GO:0000012</t>
  </si>
  <si>
    <t xml:space="preserve">single strand break repair </t>
  </si>
  <si>
    <t>single strand break repair</t>
  </si>
  <si>
    <t>evm.utg2108.27</t>
  </si>
  <si>
    <t>biological_processes</t>
  </si>
  <si>
    <t>nucleoside metabolic process</t>
  </si>
  <si>
    <t>GO:0000978</t>
  </si>
  <si>
    <t xml:space="preserve">DNA-binding transcription factor activity </t>
  </si>
  <si>
    <t>RNA polymerase II cis-regulatory region sequence-specific DNA binding</t>
  </si>
  <si>
    <t>evm.utg78.53/evm.utg777.43/evm.utg1005.68/evm.utg2108.34/evm.utg5885.87/evm.utg25862.7</t>
  </si>
  <si>
    <t>molecular_functions</t>
  </si>
  <si>
    <t>0.691119706976986/-0.90962649904899/0.974821861102972/0.564672366623484/-1.09996075507753/-0.818005468909829</t>
  </si>
  <si>
    <t>sequence-specific double-stranded DNA binding</t>
  </si>
  <si>
    <t>GO:0001227</t>
  </si>
  <si>
    <t xml:space="preserve">DNA-binding transcription repressor activity, RNA polymerase II-specific </t>
  </si>
  <si>
    <t>DNA-binding transcription repressor activity, RNA polymerase II-specific</t>
  </si>
  <si>
    <t>evm.utg150.65</t>
  </si>
  <si>
    <t>GO:0001655</t>
  </si>
  <si>
    <t xml:space="preserve">androgen biosynthetic process </t>
  </si>
  <si>
    <t>urogenital system development</t>
  </si>
  <si>
    <t>evm.utg97204.12</t>
  </si>
  <si>
    <t>thymus development</t>
  </si>
  <si>
    <t>GO:0001786</t>
  </si>
  <si>
    <t xml:space="preserve">calcium ion binding </t>
  </si>
  <si>
    <t>phosphatidylserine binding</t>
  </si>
  <si>
    <t>evm.utg788.82</t>
  </si>
  <si>
    <t>growth factor activity</t>
  </si>
  <si>
    <t>GO:0003825</t>
  </si>
  <si>
    <t xml:space="preserve">alpha,alpha-trehalose-phosphate synthase (GDP-forming) activity </t>
  </si>
  <si>
    <t>alpha,alpha-trehalose-phosphate synthase (UDP-forming) activity</t>
  </si>
  <si>
    <t>evm.utg280.44</t>
  </si>
  <si>
    <t>GO:0003884</t>
  </si>
  <si>
    <t xml:space="preserve">D-amino-acid oxidase activity </t>
  </si>
  <si>
    <t>D-amino-acid oxidase activity</t>
  </si>
  <si>
    <t>evm.utg1972.20</t>
  </si>
  <si>
    <t>GO:0004104</t>
  </si>
  <si>
    <t xml:space="preserve">cholinesterase activity </t>
  </si>
  <si>
    <t>cholinesterase activity</t>
  </si>
  <si>
    <t>evm.utg4455.12/evm.utg4455.19</t>
  </si>
  <si>
    <t>GO:0004143</t>
  </si>
  <si>
    <t xml:space="preserve">ATP binding </t>
  </si>
  <si>
    <t>ATP-dependent diacylglycerol kinase activity</t>
  </si>
  <si>
    <t>evm.utg12476.1</t>
  </si>
  <si>
    <t>non-membrane spanning protein tyrosine kinase activity</t>
  </si>
  <si>
    <t>GO:0004573</t>
  </si>
  <si>
    <t xml:space="preserve">Glc3Man9GlcNAc2 oligosaccharide glucosidase activity </t>
  </si>
  <si>
    <t>Glc3Man9GlcNAc2 oligosaccharide glucosidase activity</t>
  </si>
  <si>
    <t>evm.utg1972.86</t>
  </si>
  <si>
    <t>GO:0004586</t>
  </si>
  <si>
    <t xml:space="preserve">ornithine decarboxylase activity </t>
  </si>
  <si>
    <t>ornithine decarboxylase activity</t>
  </si>
  <si>
    <t>evm.utg3753.61</t>
  </si>
  <si>
    <t>GO:0004715</t>
  </si>
  <si>
    <t>evm.utg73.95/evm.utg1239.25</t>
  </si>
  <si>
    <t>GO:0004805</t>
  </si>
  <si>
    <t xml:space="preserve">alpha,alpha-trehalose-phosphate synthase (UDP-forming) activity </t>
  </si>
  <si>
    <t>trehalose-phosphatase activity</t>
  </si>
  <si>
    <t>GO:0004838</t>
  </si>
  <si>
    <t xml:space="preserve">L-tyrosine:2-oxoglutarate aminotransferase activity </t>
  </si>
  <si>
    <t>L-tyrosine:2-oxoglutarate transaminase activity</t>
  </si>
  <si>
    <t>evm.utg26697.9</t>
  </si>
  <si>
    <t>GO:0004869</t>
  </si>
  <si>
    <t xml:space="preserve">cysteine-type endopeptidase inhibitor activity </t>
  </si>
  <si>
    <t>cysteine-type endopeptidase inhibitor activity</t>
  </si>
  <si>
    <t>evm.utg868.112</t>
  </si>
  <si>
    <t>peptidase inhibitor activity</t>
  </si>
  <si>
    <t>GO:0005160</t>
  </si>
  <si>
    <t xml:space="preserve">cytokine activity </t>
  </si>
  <si>
    <t>transforming growth factor beta receptor binding</t>
  </si>
  <si>
    <t>evm.utg3722.21</t>
  </si>
  <si>
    <t>GO:0005313</t>
  </si>
  <si>
    <t>L-glutamate transmembrane transporter activity</t>
  </si>
  <si>
    <t>evm.utg27.73/evm.utg992.42</t>
  </si>
  <si>
    <t>1.59629571188328/0.979978648170109</t>
  </si>
  <si>
    <t>GO:0005991</t>
  </si>
  <si>
    <t xml:space="preserve">trehalose metabolic process </t>
  </si>
  <si>
    <t>trehalose metabolic process</t>
  </si>
  <si>
    <t>trehalose biosynthetic process</t>
  </si>
  <si>
    <t>GO:0005992</t>
  </si>
  <si>
    <t xml:space="preserve">trehalose biosynthetic process </t>
  </si>
  <si>
    <t>GO:0006091</t>
  </si>
  <si>
    <t xml:space="preserve">bioluminescence </t>
  </si>
  <si>
    <t>generation of precursor metabolites and energy</t>
  </si>
  <si>
    <t>evm.utg1581.4</t>
  </si>
  <si>
    <t>malate-aspartate shuttle</t>
  </si>
  <si>
    <t>GO:0006396</t>
  </si>
  <si>
    <t xml:space="preserve">RNA processing </t>
  </si>
  <si>
    <t>RNA processing</t>
  </si>
  <si>
    <t>evm.utg1463.13/evm.utg7289.25</t>
  </si>
  <si>
    <t>0.506701647219889/0.497792339966594</t>
  </si>
  <si>
    <t>GO:0006559</t>
  </si>
  <si>
    <t xml:space="preserve">L-phenylalanine catabolic process </t>
  </si>
  <si>
    <t>L-phenylalanine catabolic process</t>
  </si>
  <si>
    <t>GO:0006572</t>
  </si>
  <si>
    <t>L-tyrosine catabolic process</t>
  </si>
  <si>
    <t>GO:0006596</t>
  </si>
  <si>
    <t xml:space="preserve">polyamine biosynthetic process </t>
  </si>
  <si>
    <t>polyamine biosynthetic process</t>
  </si>
  <si>
    <t>evm.utg78.54/evm.utg3753.61</t>
  </si>
  <si>
    <t>0.834422051487675/0.678083869810475</t>
  </si>
  <si>
    <t>GO:0006855</t>
  </si>
  <si>
    <t xml:space="preserve">bile acid and bile salt transport </t>
  </si>
  <si>
    <t>xenobiotic transmembrane transport</t>
  </si>
  <si>
    <t>evm.utg4157.34</t>
  </si>
  <si>
    <t>vesicle-mediated transport</t>
  </si>
  <si>
    <t>GO:0006941</t>
  </si>
  <si>
    <t xml:space="preserve">actin filament organization </t>
  </si>
  <si>
    <t>striated muscle contraction</t>
  </si>
  <si>
    <t>evm.utg729.116</t>
  </si>
  <si>
    <t>GO:0007205</t>
  </si>
  <si>
    <t xml:space="preserve">protein kinase C-activating G protein-coupled receptor signaling pathway </t>
  </si>
  <si>
    <t>obsolete protein kinase C-activating G protein-coupled receptor signaling pathway</t>
  </si>
  <si>
    <t>hormone-mediated signaling pathway</t>
  </si>
  <si>
    <t>GO:0007476</t>
  </si>
  <si>
    <t xml:space="preserve">autophagosome maturation </t>
  </si>
  <si>
    <t>imaginal disc-derived wing morphogenesis</t>
  </si>
  <si>
    <t>evm.utg3409.15</t>
  </si>
  <si>
    <t>GO:0008061</t>
  </si>
  <si>
    <t xml:space="preserve">chitin binding </t>
  </si>
  <si>
    <t>chitin binding</t>
  </si>
  <si>
    <t>evm.utg888.2/evm.utg3522.54</t>
  </si>
  <si>
    <t>GO:0008083</t>
  </si>
  <si>
    <t xml:space="preserve">growth factor activity </t>
  </si>
  <si>
    <t>evm.utg55.33/evm.utg1663.12/evm.utg3722.21</t>
  </si>
  <si>
    <t>1.3680059564283/-0.393016998709385/-0.871481359684006</t>
  </si>
  <si>
    <t>GO:0008218</t>
  </si>
  <si>
    <t>bioluminescence</t>
  </si>
  <si>
    <t>evm.utg203.148/evm.utg512.20/evm.utg1581.4</t>
  </si>
  <si>
    <t>1.50731109806142/0.237299341319166/-0.656307927578067</t>
  </si>
  <si>
    <t>GO:0008597</t>
  </si>
  <si>
    <t>calcium-dependent protein serine/threonine phosphatase regulator activity</t>
  </si>
  <si>
    <t>evm.utg3790.36</t>
  </si>
  <si>
    <t>GO:0008836</t>
  </si>
  <si>
    <t xml:space="preserve">diaminopimelate decarboxylase activity </t>
  </si>
  <si>
    <t>diaminopimelate decarboxylase activity</t>
  </si>
  <si>
    <t>evm.utg78.54</t>
  </si>
  <si>
    <t>GO:0009089</t>
  </si>
  <si>
    <t xml:space="preserve">lysine biosynthetic process via diaminopimelate </t>
  </si>
  <si>
    <t>obsolete L-lysine biosynthetic process via diaminopimelate</t>
  </si>
  <si>
    <t>carboxylic acid metabolic process</t>
  </si>
  <si>
    <t>GO:0009134</t>
  </si>
  <si>
    <t xml:space="preserve">nucleoside diphosphate catabolic process </t>
  </si>
  <si>
    <t>nucleoside diphosphate catabolic process</t>
  </si>
  <si>
    <t>evm.utg348.3</t>
  </si>
  <si>
    <t>GO:0009311</t>
  </si>
  <si>
    <t xml:space="preserve">oligosaccharide metabolic process </t>
  </si>
  <si>
    <t>oligosaccharide metabolic process</t>
  </si>
  <si>
    <t>GO:0009381</t>
  </si>
  <si>
    <t xml:space="preserve">DNA binding </t>
  </si>
  <si>
    <t>excinuclease ABC activity</t>
  </si>
  <si>
    <t>evm.utg112.49</t>
  </si>
  <si>
    <t>GO:0009432</t>
  </si>
  <si>
    <t xml:space="preserve">DNA repair </t>
  </si>
  <si>
    <t>SOS response</t>
  </si>
  <si>
    <t>GO:0010033</t>
  </si>
  <si>
    <t xml:space="preserve">negative regulation of endopeptidase activity </t>
  </si>
  <si>
    <t>obsolete response to organic substance</t>
  </si>
  <si>
    <t>GO:0010114</t>
  </si>
  <si>
    <t xml:space="preserve">epigenetic regulation of gene expression </t>
  </si>
  <si>
    <t>response to red light</t>
  </si>
  <si>
    <t>GO:0010759</t>
  </si>
  <si>
    <t xml:space="preserve">myoblast migration involved in skeletal muscle regeneration </t>
  </si>
  <si>
    <t>positive regulation of macrophage chemotaxis</t>
  </si>
  <si>
    <t>evm.utg1663.12</t>
  </si>
  <si>
    <t>GO:0010940</t>
  </si>
  <si>
    <t xml:space="preserve">autophagosome assembly </t>
  </si>
  <si>
    <t>obsolete positive regulation of necrotic cell death</t>
  </si>
  <si>
    <t>evm.utg47.12</t>
  </si>
  <si>
    <t>GO:0015229</t>
  </si>
  <si>
    <t xml:space="preserve">L-ascorbic acid transmembrane transporter activity </t>
  </si>
  <si>
    <t>L-ascorbic acid transmembrane transporter activity</t>
  </si>
  <si>
    <t>evm.utg170.23/evm.utg170.24</t>
  </si>
  <si>
    <t>0.851036980510889/0.890387620131287</t>
  </si>
  <si>
    <t>GO:0015293</t>
  </si>
  <si>
    <t xml:space="preserve">symporter activity </t>
  </si>
  <si>
    <t>symporter activity</t>
  </si>
  <si>
    <t>evm.utg27.125/evm.utg27.127/evm.utg1925.10</t>
  </si>
  <si>
    <t>1.0930153193623/0.61686543896872/-0.669947615340795</t>
  </si>
  <si>
    <t>GO:0016684</t>
  </si>
  <si>
    <t xml:space="preserve">heme binding </t>
  </si>
  <si>
    <t>oxidoreductase activity, acting on peroxide as acceptor</t>
  </si>
  <si>
    <t>evm.utg1555.33</t>
  </si>
  <si>
    <t>GO:0016830</t>
  </si>
  <si>
    <t xml:space="preserve">carbon-carbon lyase activity </t>
  </si>
  <si>
    <t>carbon-carbon lyase activity</t>
  </si>
  <si>
    <t>GO:0017147</t>
  </si>
  <si>
    <t xml:space="preserve">Wnt-protein binding </t>
  </si>
  <si>
    <t>Wnt-protein binding</t>
  </si>
  <si>
    <t>evm.utg801.104/evm.utg4709.1</t>
  </si>
  <si>
    <t>0.521233645662609/0.64789256233713</t>
  </si>
  <si>
    <t>GO:0018126</t>
  </si>
  <si>
    <t xml:space="preserve">positive regulation of translational termination </t>
  </si>
  <si>
    <t>protein hydroxylation</t>
  </si>
  <si>
    <t>protein polyubiquitination</t>
  </si>
  <si>
    <t>GO:0019148</t>
  </si>
  <si>
    <t xml:space="preserve">D-cysteine desulfhydrase activity </t>
  </si>
  <si>
    <t>D-cysteine desulfhydrase activity</t>
  </si>
  <si>
    <t>evm.utg1683.40</t>
  </si>
  <si>
    <t>GO:0021517</t>
  </si>
  <si>
    <t xml:space="preserve">cell division </t>
  </si>
  <si>
    <t>ventral spinal cord development</t>
  </si>
  <si>
    <t>GO:0021978</t>
  </si>
  <si>
    <t xml:space="preserve">apoptotic process involved in development </t>
  </si>
  <si>
    <t>telencephalon regionalization</t>
  </si>
  <si>
    <t>evm.utg777.43</t>
  </si>
  <si>
    <t>GO:0030246</t>
  </si>
  <si>
    <t xml:space="preserve">carbohydrate binding </t>
  </si>
  <si>
    <t>carbohydrate binding</t>
  </si>
  <si>
    <t>evm.utg203.93/evm.utg203.94/evm.utg684.2/evm.utg1575.19</t>
  </si>
  <si>
    <t>0.904047507175878/0.635469230546091/0.719868793146788/0.837852935260046</t>
  </si>
  <si>
    <t>GO:0030878</t>
  </si>
  <si>
    <t xml:space="preserve">camera-type eye development </t>
  </si>
  <si>
    <t>thyroid gland development</t>
  </si>
  <si>
    <t>GO:0031433</t>
  </si>
  <si>
    <t xml:space="preserve">actin filament binding </t>
  </si>
  <si>
    <t>telethonin binding</t>
  </si>
  <si>
    <t>GO:0032093</t>
  </si>
  <si>
    <t>SAM domain binding</t>
  </si>
  <si>
    <t>GO:0032474</t>
  </si>
  <si>
    <t xml:space="preserve">cilium assembly </t>
  </si>
  <si>
    <t>otolith morphogenesis</t>
  </si>
  <si>
    <t>evm.utg1931.94</t>
  </si>
  <si>
    <t>GO:0032526</t>
  </si>
  <si>
    <t xml:space="preserve">response to retinoic acid </t>
  </si>
  <si>
    <t>response to retinoic acid</t>
  </si>
  <si>
    <t>GO:0032956</t>
  </si>
  <si>
    <t xml:space="preserve">regulation of actin cytoskeleton organization </t>
  </si>
  <si>
    <t>regulation of actin cytoskeleton organization</t>
  </si>
  <si>
    <t>GO:0033387</t>
  </si>
  <si>
    <t xml:space="preserve">putrescine biosynthetic process from ornithine </t>
  </si>
  <si>
    <t>putrescine biosynthetic process from arginine, via ornithine</t>
  </si>
  <si>
    <t>GO:0035567</t>
  </si>
  <si>
    <t xml:space="preserve">canonical Wnt signaling pathway </t>
  </si>
  <si>
    <t>non-canonical Wnt signaling pathway</t>
  </si>
  <si>
    <t>GO:0042147</t>
  </si>
  <si>
    <t xml:space="preserve">retrograde transport, endosome to Golgi </t>
  </si>
  <si>
    <t>retrograde transport, endosome to Golgi</t>
  </si>
  <si>
    <t>evm.utg1345.2/evm.utg1420.4</t>
  </si>
  <si>
    <t>0.783216745403287/1.13161067159281</t>
  </si>
  <si>
    <t>GO:0042277</t>
  </si>
  <si>
    <t xml:space="preserve">G protein-coupled receptor activity </t>
  </si>
  <si>
    <t>peptide binding</t>
  </si>
  <si>
    <t>evm.utg234.132/evm.utg324.183/evm.utg4607.34</t>
  </si>
  <si>
    <t>0.662092865349155/0.951390776981883/0.646793748739233</t>
  </si>
  <si>
    <t>GO:0042803</t>
  </si>
  <si>
    <t xml:space="preserve">protein homodimerization activity </t>
  </si>
  <si>
    <t>protein homodimerization activity</t>
  </si>
  <si>
    <t>evm.utg1663.12/evm.utg3722.21/evm.utg3753.61/evm.utg12476.1</t>
  </si>
  <si>
    <t>GO:0042908</t>
  </si>
  <si>
    <t xml:space="preserve">amino acid import across plasma membrane </t>
  </si>
  <si>
    <t>xenobiotic transport</t>
  </si>
  <si>
    <t>GO:0043490</t>
  </si>
  <si>
    <t xml:space="preserve">aspartate transmembrane transport </t>
  </si>
  <si>
    <t>GO:0046416</t>
  </si>
  <si>
    <t xml:space="preserve">D-amino acid metabolic process </t>
  </si>
  <si>
    <t>D-amino acid metabolic process</t>
  </si>
  <si>
    <t>GO:0046548</t>
  </si>
  <si>
    <t xml:space="preserve">positive regulation of gene expression </t>
  </si>
  <si>
    <t>retinal rod cell development</t>
  </si>
  <si>
    <t>evm.utg78.53</t>
  </si>
  <si>
    <t>GO:0046983</t>
  </si>
  <si>
    <t xml:space="preserve">protein dimerization activity </t>
  </si>
  <si>
    <t>protein dimerization activity</t>
  </si>
  <si>
    <t>evm.utg27.73/utg418.evm.utg6875.9.mrna3/evm.utg992.42/utg10114.evm.utg6875.9.mrna2/utg13368.evm.utg6875.9.mrna5</t>
  </si>
  <si>
    <t>1.59629571188328/0.61612754046499/0.979978648170109/0.804344413802858/0.814840723797986</t>
  </si>
  <si>
    <t>GO:0048536</t>
  </si>
  <si>
    <t xml:space="preserve">blood vessel development </t>
  </si>
  <si>
    <t>spleen development</t>
  </si>
  <si>
    <t>evm.utg5885.87</t>
  </si>
  <si>
    <t>GO:0048538</t>
  </si>
  <si>
    <t xml:space="preserve">abducens nerve formation </t>
  </si>
  <si>
    <t>evm.utg78.53/evm.utg1005.68</t>
  </si>
  <si>
    <t>0.691119706976986/0.974821861102972</t>
  </si>
  <si>
    <t>GO:0048869</t>
  </si>
  <si>
    <t xml:space="preserve">cellular developmental process </t>
  </si>
  <si>
    <t>cellular developmental process</t>
  </si>
  <si>
    <t>GO:0050882</t>
  </si>
  <si>
    <t xml:space="preserve">autophagy </t>
  </si>
  <si>
    <t>voluntary musculoskeletal movement</t>
  </si>
  <si>
    <t>GO:0050982</t>
  </si>
  <si>
    <t xml:space="preserve">detection of mechanical stimulus </t>
  </si>
  <si>
    <t>detection of mechanical stimulus</t>
  </si>
  <si>
    <t>evm.utg55.197/evm.utg498.104</t>
  </si>
  <si>
    <t>GO:0060395</t>
  </si>
  <si>
    <t xml:space="preserve">positive regulation of pathway-restricted SMAD protein phosphorylation </t>
  </si>
  <si>
    <t>SMAD protein signal transduction</t>
  </si>
  <si>
    <t>evm.utg1663.12/evm.utg3722.21</t>
  </si>
  <si>
    <t>GO:0070413</t>
  </si>
  <si>
    <t xml:space="preserve">cellular response to desiccation </t>
  </si>
  <si>
    <t>obsolete trehalose metabolism in response to stress</t>
  </si>
  <si>
    <t>GO:0072572</t>
  </si>
  <si>
    <t xml:space="preserve">histone binding </t>
  </si>
  <si>
    <t>poly-ADP-D-ribose binding</t>
  </si>
  <si>
    <t>GO:0097352</t>
  </si>
  <si>
    <t>autophagosome maturation</t>
  </si>
  <si>
    <t>GO:1901031</t>
  </si>
  <si>
    <t xml:space="preserve">negative regulation of TORC1 signaling </t>
  </si>
  <si>
    <t>regulation of response to reactive oxygen species</t>
  </si>
  <si>
    <t>GO:1903302</t>
  </si>
  <si>
    <t xml:space="preserve">positive regulation of I-kappaB kinase/NF-kappaB signaling </t>
  </si>
  <si>
    <t>regulation of pyruvate kinase activity</t>
  </si>
  <si>
    <t>GO:1990837</t>
  </si>
  <si>
    <t xml:space="preserve">DNA-binding transcription factor activity, RNA polymerase II-specific </t>
  </si>
  <si>
    <t>evm.utg78.53/evm.utg1005.68/evm.utg5885.87/evm.utg97204.12</t>
  </si>
  <si>
    <t>0.691119706976986/0.974821861102972/-1.09996075507753/0.593573059436416</t>
  </si>
  <si>
    <t>GO:1990961</t>
  </si>
  <si>
    <t xml:space="preserve">xenobiotic detoxification by transmembrane export across the plasma membrane </t>
  </si>
  <si>
    <t>xenobiotic detoxification by transmembrane export across the plasma membrane</t>
  </si>
  <si>
    <t>GO:2000781</t>
  </si>
  <si>
    <t xml:space="preserve">positive regulation of double-strand break repair </t>
  </si>
  <si>
    <t>positive regulation of double-strand break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</si>
</sst>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7674-FF78-4117-A5FB-FA17B2099A98}">
  <dimension ref="A1:M83"/>
  <sheetViews>
    <sheetView tabSelected="1" topLeftCell="C1" workbookViewId="0">
      <selection activeCell="L1" sqref="L1:L1048576"/>
    </sheetView>
  </sheetViews>
  <sheetFormatPr defaultRowHeight="14.4" x14ac:dyDescent="0.3"/>
  <cols>
    <col min="1" max="1" width="11.33203125" bestFit="1" customWidth="1"/>
    <col min="2" max="2" width="0" hidden="1" customWidth="1"/>
    <col min="3" max="3" width="75" bestFit="1" customWidth="1"/>
    <col min="4" max="10" width="0" hidden="1" customWidth="1"/>
    <col min="11" max="11" width="19.44140625" bestFit="1" customWidth="1"/>
    <col min="12" max="12" width="106.21875" bestFit="1" customWidth="1"/>
    <col min="13" max="13" width="68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170</v>
      </c>
      <c r="B2" t="s">
        <v>171</v>
      </c>
      <c r="C2" t="s">
        <v>172</v>
      </c>
      <c r="D2">
        <v>1.0989011E-2</v>
      </c>
      <c r="E2" s="1">
        <v>3.4600000000000001E-5</v>
      </c>
      <c r="F2">
        <v>3.1529349999999999E-3</v>
      </c>
      <c r="G2">
        <v>3.2475227000000002E-2</v>
      </c>
      <c r="H2">
        <v>1.7921943999999999E-2</v>
      </c>
      <c r="I2" t="s">
        <v>38</v>
      </c>
      <c r="J2">
        <v>1</v>
      </c>
      <c r="K2" t="s">
        <v>17</v>
      </c>
      <c r="L2">
        <v>-1.10341137430643</v>
      </c>
      <c r="M2" t="s">
        <v>172</v>
      </c>
    </row>
    <row r="3" spans="1:13" x14ac:dyDescent="0.3">
      <c r="A3" t="s">
        <v>19</v>
      </c>
      <c r="B3" t="s">
        <v>20</v>
      </c>
      <c r="C3" t="s">
        <v>21</v>
      </c>
      <c r="D3">
        <v>4.8780487999999997E-2</v>
      </c>
      <c r="E3">
        <v>1.3296254E-2</v>
      </c>
      <c r="F3">
        <v>6.1602260000000004E-3</v>
      </c>
      <c r="G3">
        <v>7.7697712000000002E-2</v>
      </c>
      <c r="H3">
        <v>4.9258119000000003E-2</v>
      </c>
      <c r="I3" t="s">
        <v>22</v>
      </c>
      <c r="J3">
        <v>6</v>
      </c>
      <c r="K3" t="s">
        <v>23</v>
      </c>
      <c r="L3" t="s">
        <v>24</v>
      </c>
      <c r="M3" t="s">
        <v>25</v>
      </c>
    </row>
    <row r="4" spans="1:13" x14ac:dyDescent="0.3">
      <c r="A4" t="s">
        <v>26</v>
      </c>
      <c r="B4" t="s">
        <v>27</v>
      </c>
      <c r="C4" t="s">
        <v>28</v>
      </c>
      <c r="D4">
        <v>8.1300810000000008E-3</v>
      </c>
      <c r="E4">
        <v>1.73807E-4</v>
      </c>
      <c r="F4">
        <v>2.1190285E-2</v>
      </c>
      <c r="G4">
        <v>7.7697712000000002E-2</v>
      </c>
      <c r="H4">
        <v>4.9258119000000003E-2</v>
      </c>
      <c r="I4" t="s">
        <v>29</v>
      </c>
      <c r="J4">
        <v>1</v>
      </c>
      <c r="K4" t="s">
        <v>23</v>
      </c>
      <c r="L4">
        <v>1.5792851569573401</v>
      </c>
      <c r="M4" t="s">
        <v>28</v>
      </c>
    </row>
    <row r="5" spans="1:13" x14ac:dyDescent="0.3">
      <c r="A5" t="s">
        <v>203</v>
      </c>
      <c r="B5" t="s">
        <v>204</v>
      </c>
      <c r="C5" t="s">
        <v>205</v>
      </c>
      <c r="D5">
        <v>1.0989011E-2</v>
      </c>
      <c r="E5">
        <v>1.7323800000000001E-4</v>
      </c>
      <c r="F5">
        <v>1.5666655000000002E-2</v>
      </c>
      <c r="G5">
        <v>6.2064056999999999E-2</v>
      </c>
      <c r="H5">
        <v>3.4250986999999997E-2</v>
      </c>
      <c r="I5" t="s">
        <v>38</v>
      </c>
      <c r="J5">
        <v>1</v>
      </c>
      <c r="K5" t="s">
        <v>17</v>
      </c>
      <c r="L5">
        <v>-1.10341137430643</v>
      </c>
      <c r="M5" t="s">
        <v>206</v>
      </c>
    </row>
    <row r="6" spans="1:13" x14ac:dyDescent="0.3">
      <c r="A6" t="s">
        <v>35</v>
      </c>
      <c r="B6" t="s">
        <v>36</v>
      </c>
      <c r="C6" t="s">
        <v>37</v>
      </c>
      <c r="D6">
        <v>8.1300810000000008E-3</v>
      </c>
      <c r="E6">
        <v>2.60711E-4</v>
      </c>
      <c r="F6">
        <v>3.1617797000000003E-2</v>
      </c>
      <c r="G6">
        <v>9.2745538000000002E-2</v>
      </c>
      <c r="H6">
        <v>5.8798007999999999E-2</v>
      </c>
      <c r="I6" t="s">
        <v>38</v>
      </c>
      <c r="J6">
        <v>1</v>
      </c>
      <c r="K6" t="s">
        <v>23</v>
      </c>
      <c r="L6">
        <v>-1.10341137430643</v>
      </c>
      <c r="M6" t="s">
        <v>39</v>
      </c>
    </row>
    <row r="7" spans="1:13" x14ac:dyDescent="0.3">
      <c r="A7" t="s">
        <v>40</v>
      </c>
      <c r="B7" t="s">
        <v>41</v>
      </c>
      <c r="C7" t="s">
        <v>42</v>
      </c>
      <c r="D7">
        <v>8.1300810000000008E-3</v>
      </c>
      <c r="E7">
        <v>2.0277500000000001E-4</v>
      </c>
      <c r="F7">
        <v>2.4678438E-2</v>
      </c>
      <c r="G7">
        <v>8.6868101000000003E-2</v>
      </c>
      <c r="H7">
        <v>5.5071882000000003E-2</v>
      </c>
      <c r="I7" t="s">
        <v>43</v>
      </c>
      <c r="J7">
        <v>1</v>
      </c>
      <c r="K7" t="s">
        <v>23</v>
      </c>
      <c r="L7">
        <v>0.65952099346997395</v>
      </c>
      <c r="M7" t="s">
        <v>42</v>
      </c>
    </row>
    <row r="8" spans="1:13" x14ac:dyDescent="0.3">
      <c r="A8" t="s">
        <v>44</v>
      </c>
      <c r="B8" t="s">
        <v>45</v>
      </c>
      <c r="C8" t="s">
        <v>46</v>
      </c>
      <c r="D8">
        <v>8.1300810000000008E-3</v>
      </c>
      <c r="E8">
        <v>3.1864699999999997E-4</v>
      </c>
      <c r="F8">
        <v>3.8508182000000002E-2</v>
      </c>
      <c r="G8">
        <v>9.9668234999999994E-2</v>
      </c>
      <c r="H8">
        <v>6.3186799000000002E-2</v>
      </c>
      <c r="I8" t="s">
        <v>47</v>
      </c>
      <c r="J8">
        <v>1</v>
      </c>
      <c r="K8" t="s">
        <v>23</v>
      </c>
      <c r="L8">
        <v>0.49413283559655302</v>
      </c>
      <c r="M8" t="s">
        <v>46</v>
      </c>
    </row>
    <row r="9" spans="1:13" x14ac:dyDescent="0.3">
      <c r="A9" t="s">
        <v>48</v>
      </c>
      <c r="B9" t="s">
        <v>49</v>
      </c>
      <c r="C9" t="s">
        <v>50</v>
      </c>
      <c r="D9">
        <v>1.6260163000000001E-2</v>
      </c>
      <c r="E9">
        <v>1.390458E-3</v>
      </c>
      <c r="F9">
        <v>1.2763452E-2</v>
      </c>
      <c r="G9">
        <v>7.7697712000000002E-2</v>
      </c>
      <c r="H9">
        <v>4.9258119000000003E-2</v>
      </c>
      <c r="I9" t="s">
        <v>51</v>
      </c>
      <c r="J9">
        <v>2</v>
      </c>
      <c r="K9" t="s">
        <v>23</v>
      </c>
      <c r="L9">
        <f>-0.506484593689187/0.796934142310124</f>
        <v>-0.63554134124685335</v>
      </c>
      <c r="M9" t="s">
        <v>50</v>
      </c>
    </row>
    <row r="10" spans="1:13" x14ac:dyDescent="0.3">
      <c r="A10" t="s">
        <v>52</v>
      </c>
      <c r="B10" t="s">
        <v>53</v>
      </c>
      <c r="C10" t="s">
        <v>54</v>
      </c>
      <c r="D10">
        <v>8.1300810000000008E-3</v>
      </c>
      <c r="E10">
        <v>2.8967899999999999E-4</v>
      </c>
      <c r="F10">
        <v>3.5069089999999997E-2</v>
      </c>
      <c r="G10">
        <v>9.9550964000000006E-2</v>
      </c>
      <c r="H10">
        <v>6.3112452999999999E-2</v>
      </c>
      <c r="I10" t="s">
        <v>55</v>
      </c>
      <c r="J10">
        <v>1</v>
      </c>
      <c r="K10" t="s">
        <v>23</v>
      </c>
      <c r="L10">
        <v>-0.666546084331189</v>
      </c>
      <c r="M10" t="s">
        <v>56</v>
      </c>
    </row>
    <row r="11" spans="1:13" x14ac:dyDescent="0.3">
      <c r="A11" t="s">
        <v>57</v>
      </c>
      <c r="B11" t="s">
        <v>58</v>
      </c>
      <c r="C11" t="s">
        <v>59</v>
      </c>
      <c r="D11">
        <v>8.1300810000000008E-3</v>
      </c>
      <c r="E11">
        <v>2.3174299999999999E-4</v>
      </c>
      <c r="F11">
        <v>2.8154261E-2</v>
      </c>
      <c r="G11">
        <v>8.8484819000000006E-2</v>
      </c>
      <c r="H11">
        <v>5.6096834999999998E-2</v>
      </c>
      <c r="I11" t="s">
        <v>60</v>
      </c>
      <c r="J11">
        <v>1</v>
      </c>
      <c r="K11" t="s">
        <v>23</v>
      </c>
      <c r="L11">
        <v>-0.32576120832535899</v>
      </c>
      <c r="M11" t="s">
        <v>59</v>
      </c>
    </row>
    <row r="12" spans="1:13" x14ac:dyDescent="0.3">
      <c r="A12" t="s">
        <v>61</v>
      </c>
      <c r="B12" t="s">
        <v>62</v>
      </c>
      <c r="C12" t="s">
        <v>63</v>
      </c>
      <c r="D12">
        <v>8.1300810000000008E-3</v>
      </c>
      <c r="E12">
        <v>1.4483899999999999E-4</v>
      </c>
      <c r="F12">
        <v>1.7689758999999999E-2</v>
      </c>
      <c r="G12">
        <v>7.7697712000000002E-2</v>
      </c>
      <c r="H12">
        <v>4.9258119000000003E-2</v>
      </c>
      <c r="I12" t="s">
        <v>64</v>
      </c>
      <c r="J12">
        <v>1</v>
      </c>
      <c r="K12" t="s">
        <v>23</v>
      </c>
      <c r="L12">
        <v>0.67808386981047497</v>
      </c>
      <c r="M12" t="s">
        <v>63</v>
      </c>
    </row>
    <row r="13" spans="1:13" x14ac:dyDescent="0.3">
      <c r="A13" t="s">
        <v>65</v>
      </c>
      <c r="B13" t="s">
        <v>53</v>
      </c>
      <c r="C13" t="s">
        <v>56</v>
      </c>
      <c r="D13">
        <v>1.6260163000000001E-2</v>
      </c>
      <c r="E13">
        <v>1.622201E-3</v>
      </c>
      <c r="F13">
        <v>1.7106531000000001E-2</v>
      </c>
      <c r="G13">
        <v>7.7697712000000002E-2</v>
      </c>
      <c r="H13">
        <v>4.9258119000000003E-2</v>
      </c>
      <c r="I13" t="s">
        <v>66</v>
      </c>
      <c r="J13">
        <v>2</v>
      </c>
      <c r="K13" t="s">
        <v>23</v>
      </c>
      <c r="L13">
        <f>-0.545700608884195/0.989822904696453</f>
        <v>-0.55131135710740498</v>
      </c>
      <c r="M13" t="s">
        <v>56</v>
      </c>
    </row>
    <row r="14" spans="1:13" x14ac:dyDescent="0.3">
      <c r="A14" t="s">
        <v>67</v>
      </c>
      <c r="B14" t="s">
        <v>68</v>
      </c>
      <c r="C14" t="s">
        <v>69</v>
      </c>
      <c r="D14">
        <v>8.1300810000000008E-3</v>
      </c>
      <c r="E14">
        <v>1.15871E-4</v>
      </c>
      <c r="F14">
        <v>1.4176816E-2</v>
      </c>
      <c r="G14">
        <v>7.7697712000000002E-2</v>
      </c>
      <c r="H14">
        <v>4.9258119000000003E-2</v>
      </c>
      <c r="I14" t="s">
        <v>43</v>
      </c>
      <c r="J14">
        <v>1</v>
      </c>
      <c r="K14" t="s">
        <v>23</v>
      </c>
      <c r="L14">
        <v>0.65952099346997395</v>
      </c>
      <c r="M14" t="s">
        <v>50</v>
      </c>
    </row>
    <row r="15" spans="1:13" x14ac:dyDescent="0.3">
      <c r="A15" t="s">
        <v>70</v>
      </c>
      <c r="B15" t="s">
        <v>71</v>
      </c>
      <c r="C15" t="s">
        <v>72</v>
      </c>
      <c r="D15">
        <v>8.1300810000000008E-3</v>
      </c>
      <c r="E15" s="1">
        <v>8.6899999999999998E-5</v>
      </c>
      <c r="F15">
        <v>1.0651412000000001E-2</v>
      </c>
      <c r="G15">
        <v>7.7697712000000002E-2</v>
      </c>
      <c r="H15">
        <v>4.9258119000000003E-2</v>
      </c>
      <c r="I15" t="s">
        <v>73</v>
      </c>
      <c r="J15">
        <v>1</v>
      </c>
      <c r="K15" t="s">
        <v>23</v>
      </c>
      <c r="L15">
        <v>0.87840948723377599</v>
      </c>
      <c r="M15" t="s">
        <v>72</v>
      </c>
    </row>
    <row r="16" spans="1:13" x14ac:dyDescent="0.3">
      <c r="A16" t="s">
        <v>74</v>
      </c>
      <c r="B16" t="s">
        <v>75</v>
      </c>
      <c r="C16" t="s">
        <v>76</v>
      </c>
      <c r="D16">
        <v>8.1300810000000008E-3</v>
      </c>
      <c r="E16">
        <v>2.60711E-4</v>
      </c>
      <c r="F16">
        <v>3.1617797000000003E-2</v>
      </c>
      <c r="G16">
        <v>9.2745538000000002E-2</v>
      </c>
      <c r="H16">
        <v>5.8798007999999999E-2</v>
      </c>
      <c r="I16" t="s">
        <v>77</v>
      </c>
      <c r="J16">
        <v>1</v>
      </c>
      <c r="K16" t="s">
        <v>23</v>
      </c>
      <c r="L16">
        <v>-1.84895183106884</v>
      </c>
      <c r="M16" t="s">
        <v>78</v>
      </c>
    </row>
    <row r="17" spans="1:13" x14ac:dyDescent="0.3">
      <c r="A17" t="s">
        <v>79</v>
      </c>
      <c r="B17" t="s">
        <v>80</v>
      </c>
      <c r="C17" t="s">
        <v>81</v>
      </c>
      <c r="D17">
        <v>8.1300810000000008E-3</v>
      </c>
      <c r="E17" s="1">
        <v>5.7899999999999998E-5</v>
      </c>
      <c r="F17">
        <v>7.113505E-3</v>
      </c>
      <c r="G17">
        <v>7.7697712000000002E-2</v>
      </c>
      <c r="H17">
        <v>4.9258119000000003E-2</v>
      </c>
      <c r="I17" t="s">
        <v>82</v>
      </c>
      <c r="J17">
        <v>1</v>
      </c>
      <c r="K17" t="s">
        <v>23</v>
      </c>
      <c r="L17">
        <v>-0.87148135968400597</v>
      </c>
      <c r="M17" t="s">
        <v>39</v>
      </c>
    </row>
    <row r="18" spans="1:13" x14ac:dyDescent="0.3">
      <c r="A18" t="s">
        <v>83</v>
      </c>
      <c r="B18" t="s">
        <v>36</v>
      </c>
      <c r="C18" t="s">
        <v>84</v>
      </c>
      <c r="D18">
        <v>1.6260163000000001E-2</v>
      </c>
      <c r="E18">
        <v>2.3174299999999999E-4</v>
      </c>
      <c r="F18">
        <v>3.4767700000000001E-4</v>
      </c>
      <c r="G18">
        <v>3.0595612000000001E-2</v>
      </c>
      <c r="H18">
        <v>1.9396739999999999E-2</v>
      </c>
      <c r="I18" t="s">
        <v>85</v>
      </c>
      <c r="J18">
        <v>2</v>
      </c>
      <c r="K18" t="s">
        <v>23</v>
      </c>
      <c r="L18" t="s">
        <v>86</v>
      </c>
      <c r="M18" t="s">
        <v>84</v>
      </c>
    </row>
    <row r="19" spans="1:13" x14ac:dyDescent="0.3">
      <c r="A19" t="s">
        <v>311</v>
      </c>
      <c r="B19" t="s">
        <v>312</v>
      </c>
      <c r="C19" t="s">
        <v>313</v>
      </c>
      <c r="D19">
        <v>1.0989011E-2</v>
      </c>
      <c r="E19" s="1">
        <v>3.4600000000000001E-5</v>
      </c>
      <c r="F19">
        <v>3.1529349999999999E-3</v>
      </c>
      <c r="G19">
        <v>3.2475227000000002E-2</v>
      </c>
      <c r="H19">
        <v>1.7921943999999999E-2</v>
      </c>
      <c r="I19" t="s">
        <v>38</v>
      </c>
      <c r="J19">
        <v>1</v>
      </c>
      <c r="K19" t="s">
        <v>17</v>
      </c>
      <c r="L19">
        <v>-1.10341137430643</v>
      </c>
      <c r="M19" t="s">
        <v>313</v>
      </c>
    </row>
    <row r="20" spans="1:13" x14ac:dyDescent="0.3">
      <c r="A20" t="s">
        <v>278</v>
      </c>
      <c r="B20" t="s">
        <v>279</v>
      </c>
      <c r="C20" t="s">
        <v>280</v>
      </c>
      <c r="D20">
        <v>1.0989011E-2</v>
      </c>
      <c r="E20">
        <v>2.4253299999999999E-4</v>
      </c>
      <c r="F20">
        <v>2.1865127000000002E-2</v>
      </c>
      <c r="G20">
        <v>7.5070267999999996E-2</v>
      </c>
      <c r="H20">
        <v>4.1428660999999999E-2</v>
      </c>
      <c r="I20" t="s">
        <v>281</v>
      </c>
      <c r="J20">
        <v>1</v>
      </c>
      <c r="K20" t="s">
        <v>17</v>
      </c>
      <c r="L20">
        <v>-1.0999607550775301</v>
      </c>
      <c r="M20" t="s">
        <v>34</v>
      </c>
    </row>
    <row r="21" spans="1:13" x14ac:dyDescent="0.3">
      <c r="A21" t="s">
        <v>126</v>
      </c>
      <c r="B21" t="s">
        <v>127</v>
      </c>
      <c r="C21" t="s">
        <v>128</v>
      </c>
      <c r="D21">
        <v>1.0989011E-2</v>
      </c>
      <c r="E21" s="1">
        <v>6.9300000000000004E-5</v>
      </c>
      <c r="F21">
        <v>6.296037E-3</v>
      </c>
      <c r="G21">
        <v>4.3232789000000001E-2</v>
      </c>
      <c r="H21">
        <v>2.3858667E-2</v>
      </c>
      <c r="I21" t="s">
        <v>129</v>
      </c>
      <c r="J21">
        <v>1</v>
      </c>
      <c r="K21" t="s">
        <v>17</v>
      </c>
      <c r="L21">
        <v>-0.99137352431356096</v>
      </c>
      <c r="M21" t="s">
        <v>128</v>
      </c>
    </row>
    <row r="22" spans="1:13" x14ac:dyDescent="0.3">
      <c r="A22" t="s">
        <v>306</v>
      </c>
      <c r="B22" t="s">
        <v>127</v>
      </c>
      <c r="C22" t="s">
        <v>307</v>
      </c>
      <c r="D22">
        <v>1.0989011E-2</v>
      </c>
      <c r="E22">
        <v>1.38591E-4</v>
      </c>
      <c r="F22">
        <v>1.2552867000000001E-2</v>
      </c>
      <c r="G22">
        <v>6.1568825000000001E-2</v>
      </c>
      <c r="H22">
        <v>3.3977686E-2</v>
      </c>
      <c r="I22" t="s">
        <v>129</v>
      </c>
      <c r="J22">
        <v>1</v>
      </c>
      <c r="K22" t="s">
        <v>17</v>
      </c>
      <c r="L22">
        <v>-0.99137352431356096</v>
      </c>
      <c r="M22" t="s">
        <v>307</v>
      </c>
    </row>
    <row r="23" spans="1:13" x14ac:dyDescent="0.3">
      <c r="A23" t="s">
        <v>214</v>
      </c>
      <c r="B23" t="s">
        <v>215</v>
      </c>
      <c r="C23" t="s">
        <v>216</v>
      </c>
      <c r="D23">
        <v>1.0989011E-2</v>
      </c>
      <c r="E23" s="1">
        <v>3.4600000000000001E-5</v>
      </c>
      <c r="F23">
        <v>3.1529349999999999E-3</v>
      </c>
      <c r="G23">
        <v>3.2475227000000002E-2</v>
      </c>
      <c r="H23">
        <v>1.7921943999999999E-2</v>
      </c>
      <c r="I23" t="s">
        <v>217</v>
      </c>
      <c r="J23">
        <v>1</v>
      </c>
      <c r="K23" t="s">
        <v>17</v>
      </c>
      <c r="L23">
        <v>-0.90962649904898996</v>
      </c>
      <c r="M23" t="s">
        <v>34</v>
      </c>
    </row>
    <row r="24" spans="1:13" x14ac:dyDescent="0.3">
      <c r="A24" t="s">
        <v>223</v>
      </c>
      <c r="B24" t="s">
        <v>224</v>
      </c>
      <c r="C24" t="s">
        <v>225</v>
      </c>
      <c r="D24">
        <v>1.0989011E-2</v>
      </c>
      <c r="E24">
        <v>1.38591E-4</v>
      </c>
      <c r="F24">
        <v>1.2552867000000001E-2</v>
      </c>
      <c r="G24">
        <v>6.1568825000000001E-2</v>
      </c>
      <c r="H24">
        <v>3.3977686E-2</v>
      </c>
      <c r="I24" t="s">
        <v>217</v>
      </c>
      <c r="J24">
        <v>1</v>
      </c>
      <c r="K24" t="s">
        <v>17</v>
      </c>
      <c r="L24">
        <v>-0.90962649904898996</v>
      </c>
      <c r="M24" t="s">
        <v>34</v>
      </c>
    </row>
    <row r="25" spans="1:13" x14ac:dyDescent="0.3">
      <c r="A25" t="s">
        <v>122</v>
      </c>
      <c r="B25" t="s">
        <v>123</v>
      </c>
      <c r="C25" t="s">
        <v>124</v>
      </c>
      <c r="D25">
        <v>1.0989011E-2</v>
      </c>
      <c r="E25">
        <v>5.1971500000000002E-4</v>
      </c>
      <c r="F25">
        <v>4.6275320000000002E-2</v>
      </c>
      <c r="G25">
        <v>9.9299125000000002E-2</v>
      </c>
      <c r="H25">
        <v>5.4799721000000003E-2</v>
      </c>
      <c r="I25" t="s">
        <v>55</v>
      </c>
      <c r="J25">
        <v>1</v>
      </c>
      <c r="K25" t="s">
        <v>17</v>
      </c>
      <c r="L25">
        <v>-0.666546084331189</v>
      </c>
      <c r="M25" t="s">
        <v>125</v>
      </c>
    </row>
    <row r="26" spans="1:13" x14ac:dyDescent="0.3">
      <c r="A26" t="s">
        <v>167</v>
      </c>
      <c r="B26" t="s">
        <v>168</v>
      </c>
      <c r="C26" t="s">
        <v>169</v>
      </c>
      <c r="D26">
        <v>1.0989011E-2</v>
      </c>
      <c r="E26">
        <v>1.7323800000000001E-4</v>
      </c>
      <c r="F26">
        <v>1.5666655000000002E-2</v>
      </c>
      <c r="G26">
        <v>6.2064056999999999E-2</v>
      </c>
      <c r="H26">
        <v>3.4250986999999997E-2</v>
      </c>
      <c r="I26" t="s">
        <v>55</v>
      </c>
      <c r="J26">
        <v>1</v>
      </c>
      <c r="K26" t="s">
        <v>17</v>
      </c>
      <c r="L26">
        <v>-0.666546084331189</v>
      </c>
      <c r="M26" t="s">
        <v>169</v>
      </c>
    </row>
    <row r="27" spans="1:13" x14ac:dyDescent="0.3">
      <c r="A27" t="s">
        <v>93</v>
      </c>
      <c r="B27" t="s">
        <v>94</v>
      </c>
      <c r="C27" t="s">
        <v>95</v>
      </c>
      <c r="D27">
        <v>1.0989011E-2</v>
      </c>
      <c r="E27" s="1">
        <v>6.9300000000000004E-5</v>
      </c>
      <c r="F27">
        <v>6.296037E-3</v>
      </c>
      <c r="G27">
        <v>4.3232789000000001E-2</v>
      </c>
      <c r="H27">
        <v>2.3858667E-2</v>
      </c>
      <c r="I27" t="s">
        <v>96</v>
      </c>
      <c r="J27">
        <v>1</v>
      </c>
      <c r="K27" t="s">
        <v>17</v>
      </c>
      <c r="L27">
        <v>-0.656307927578067</v>
      </c>
      <c r="M27" t="s">
        <v>97</v>
      </c>
    </row>
    <row r="28" spans="1:13" x14ac:dyDescent="0.3">
      <c r="A28" t="s">
        <v>231</v>
      </c>
      <c r="B28" t="s">
        <v>232</v>
      </c>
      <c r="C28" t="s">
        <v>233</v>
      </c>
      <c r="D28">
        <v>1.0989011E-2</v>
      </c>
      <c r="E28">
        <v>2.4253299999999999E-4</v>
      </c>
      <c r="F28">
        <v>2.1865127000000002E-2</v>
      </c>
      <c r="G28">
        <v>7.5070267999999996E-2</v>
      </c>
      <c r="H28">
        <v>4.1428660999999999E-2</v>
      </c>
      <c r="I28" t="s">
        <v>234</v>
      </c>
      <c r="J28">
        <v>1</v>
      </c>
      <c r="K28" t="s">
        <v>17</v>
      </c>
      <c r="L28">
        <v>-0.46755692509787</v>
      </c>
      <c r="M28" t="s">
        <v>233</v>
      </c>
    </row>
    <row r="29" spans="1:13" x14ac:dyDescent="0.3">
      <c r="A29" t="s">
        <v>177</v>
      </c>
      <c r="B29" t="s">
        <v>178</v>
      </c>
      <c r="C29" t="s">
        <v>179</v>
      </c>
      <c r="D29">
        <v>1.0989011E-2</v>
      </c>
      <c r="E29">
        <v>1.38591E-4</v>
      </c>
      <c r="F29">
        <v>1.2552867000000001E-2</v>
      </c>
      <c r="G29">
        <v>6.1568825000000001E-2</v>
      </c>
      <c r="H29">
        <v>3.3977686E-2</v>
      </c>
      <c r="I29" t="s">
        <v>180</v>
      </c>
      <c r="J29">
        <v>1</v>
      </c>
      <c r="K29" t="s">
        <v>17</v>
      </c>
      <c r="L29">
        <v>-0.41414231303004401</v>
      </c>
      <c r="M29" t="s">
        <v>179</v>
      </c>
    </row>
    <row r="30" spans="1:13" x14ac:dyDescent="0.3">
      <c r="A30" t="s">
        <v>130</v>
      </c>
      <c r="B30" t="s">
        <v>131</v>
      </c>
      <c r="C30" t="s">
        <v>132</v>
      </c>
      <c r="D30">
        <v>1.6260163000000001E-2</v>
      </c>
      <c r="E30">
        <v>2.4912369999999999E-3</v>
      </c>
      <c r="F30">
        <v>3.7898728E-2</v>
      </c>
      <c r="G30">
        <v>9.9668234999999994E-2</v>
      </c>
      <c r="H30">
        <v>6.3186799000000002E-2</v>
      </c>
      <c r="I30" t="s">
        <v>133</v>
      </c>
      <c r="J30">
        <v>2</v>
      </c>
      <c r="K30" t="s">
        <v>23</v>
      </c>
      <c r="L30">
        <f>-1.02808759783981/-1.1404074055985</f>
        <v>0.90150905088191435</v>
      </c>
      <c r="M30" t="s">
        <v>39</v>
      </c>
    </row>
    <row r="31" spans="1:13" x14ac:dyDescent="0.3">
      <c r="A31" t="s">
        <v>134</v>
      </c>
      <c r="B31" t="s">
        <v>135</v>
      </c>
      <c r="C31" t="s">
        <v>39</v>
      </c>
      <c r="D31">
        <v>2.4390243999999998E-2</v>
      </c>
      <c r="E31">
        <v>2.0856870000000001E-3</v>
      </c>
      <c r="F31">
        <v>2.2006500000000002E-3</v>
      </c>
      <c r="G31">
        <v>4.84143E-2</v>
      </c>
      <c r="H31">
        <v>3.0693275999999999E-2</v>
      </c>
      <c r="I31" t="s">
        <v>136</v>
      </c>
      <c r="J31">
        <v>3</v>
      </c>
      <c r="K31" t="s">
        <v>23</v>
      </c>
      <c r="L31" t="s">
        <v>137</v>
      </c>
      <c r="M31" t="s">
        <v>39</v>
      </c>
    </row>
    <row r="32" spans="1:13" x14ac:dyDescent="0.3">
      <c r="A32" t="s">
        <v>173</v>
      </c>
      <c r="B32" t="s">
        <v>174</v>
      </c>
      <c r="C32" t="s">
        <v>175</v>
      </c>
      <c r="D32">
        <v>1.0989011E-2</v>
      </c>
      <c r="E32" s="1">
        <v>6.9300000000000004E-5</v>
      </c>
      <c r="F32">
        <v>6.296037E-3</v>
      </c>
      <c r="G32">
        <v>4.3232789000000001E-2</v>
      </c>
      <c r="H32">
        <v>2.3858667E-2</v>
      </c>
      <c r="I32" t="s">
        <v>176</v>
      </c>
      <c r="J32">
        <v>1</v>
      </c>
      <c r="K32" t="s">
        <v>17</v>
      </c>
      <c r="L32">
        <v>-0.393016998709385</v>
      </c>
      <c r="M32" t="s">
        <v>175</v>
      </c>
    </row>
    <row r="33" spans="1:13" x14ac:dyDescent="0.3">
      <c r="A33" t="s">
        <v>142</v>
      </c>
      <c r="B33" t="s">
        <v>36</v>
      </c>
      <c r="C33" t="s">
        <v>143</v>
      </c>
      <c r="D33">
        <v>8.1300810000000008E-3</v>
      </c>
      <c r="E33">
        <v>2.3174299999999999E-4</v>
      </c>
      <c r="F33">
        <v>2.8154261E-2</v>
      </c>
      <c r="G33">
        <v>8.8484819000000006E-2</v>
      </c>
      <c r="H33">
        <v>5.6096834999999998E-2</v>
      </c>
      <c r="I33" t="s">
        <v>144</v>
      </c>
      <c r="J33">
        <v>1</v>
      </c>
      <c r="K33" t="s">
        <v>23</v>
      </c>
      <c r="L33">
        <v>-1.31236553826817</v>
      </c>
      <c r="M33" t="s">
        <v>143</v>
      </c>
    </row>
    <row r="34" spans="1:13" x14ac:dyDescent="0.3">
      <c r="A34" t="s">
        <v>145</v>
      </c>
      <c r="B34" t="s">
        <v>146</v>
      </c>
      <c r="C34" t="s">
        <v>147</v>
      </c>
      <c r="D34">
        <v>8.1300810000000008E-3</v>
      </c>
      <c r="E34">
        <v>1.4483899999999999E-4</v>
      </c>
      <c r="F34">
        <v>1.7689758999999999E-2</v>
      </c>
      <c r="G34">
        <v>7.7697712000000002E-2</v>
      </c>
      <c r="H34">
        <v>4.9258119000000003E-2</v>
      </c>
      <c r="I34" t="s">
        <v>148</v>
      </c>
      <c r="J34">
        <v>1</v>
      </c>
      <c r="K34" t="s">
        <v>23</v>
      </c>
      <c r="L34">
        <v>0.83442205148767501</v>
      </c>
      <c r="M34" t="s">
        <v>63</v>
      </c>
    </row>
    <row r="35" spans="1:13" x14ac:dyDescent="0.3">
      <c r="A35" t="s">
        <v>157</v>
      </c>
      <c r="B35" t="s">
        <v>158</v>
      </c>
      <c r="C35" t="s">
        <v>159</v>
      </c>
      <c r="D35">
        <v>1.0989011E-2</v>
      </c>
      <c r="E35">
        <v>4.85067E-4</v>
      </c>
      <c r="F35">
        <v>4.3257309000000001E-2</v>
      </c>
      <c r="G35">
        <v>9.9011173999999993E-2</v>
      </c>
      <c r="H35">
        <v>5.4640811999999997E-2</v>
      </c>
      <c r="I35" t="s">
        <v>60</v>
      </c>
      <c r="J35">
        <v>1</v>
      </c>
      <c r="K35" t="s">
        <v>17</v>
      </c>
      <c r="L35">
        <v>-0.32576120832535899</v>
      </c>
      <c r="M35" t="s">
        <v>90</v>
      </c>
    </row>
    <row r="36" spans="1:13" x14ac:dyDescent="0.3">
      <c r="A36" t="s">
        <v>296</v>
      </c>
      <c r="B36" t="s">
        <v>297</v>
      </c>
      <c r="C36" t="s">
        <v>298</v>
      </c>
      <c r="D36">
        <v>2.1978022E-2</v>
      </c>
      <c r="E36">
        <v>1.4552009999999999E-3</v>
      </c>
      <c r="F36">
        <v>7.7993899999999998E-3</v>
      </c>
      <c r="G36">
        <v>5.0208570000000001E-2</v>
      </c>
      <c r="H36">
        <v>2.7708357999999999E-2</v>
      </c>
      <c r="I36" t="s">
        <v>299</v>
      </c>
      <c r="J36">
        <v>2</v>
      </c>
      <c r="K36" t="s">
        <v>17</v>
      </c>
      <c r="L36">
        <f>-0.393016998709385/-0.871481359684006</f>
        <v>0.45097579465370397</v>
      </c>
      <c r="M36" t="s">
        <v>125</v>
      </c>
    </row>
    <row r="37" spans="1:13" x14ac:dyDescent="0.3">
      <c r="A37" t="s">
        <v>164</v>
      </c>
      <c r="B37" t="s">
        <v>165</v>
      </c>
      <c r="C37" t="s">
        <v>166</v>
      </c>
      <c r="D37">
        <v>1.0989011E-2</v>
      </c>
      <c r="E37">
        <v>1.03943E-4</v>
      </c>
      <c r="F37">
        <v>9.4293380000000006E-3</v>
      </c>
      <c r="G37">
        <v>5.7130695000000002E-2</v>
      </c>
      <c r="H37">
        <v>3.1528436999999999E-2</v>
      </c>
      <c r="I37" t="s">
        <v>163</v>
      </c>
      <c r="J37">
        <v>1</v>
      </c>
      <c r="K37" t="s">
        <v>17</v>
      </c>
      <c r="L37">
        <v>0.47922130096847698</v>
      </c>
      <c r="M37" t="s">
        <v>166</v>
      </c>
    </row>
    <row r="38" spans="1:13" x14ac:dyDescent="0.3">
      <c r="A38" t="s">
        <v>160</v>
      </c>
      <c r="B38" t="s">
        <v>161</v>
      </c>
      <c r="C38" t="s">
        <v>162</v>
      </c>
      <c r="D38">
        <v>8.1300810000000008E-3</v>
      </c>
      <c r="E38" s="1">
        <v>5.7899999999999998E-5</v>
      </c>
      <c r="F38">
        <v>7.113505E-3</v>
      </c>
      <c r="G38">
        <v>7.7697712000000002E-2</v>
      </c>
      <c r="H38">
        <v>4.9258119000000003E-2</v>
      </c>
      <c r="I38" t="s">
        <v>163</v>
      </c>
      <c r="J38">
        <v>1</v>
      </c>
      <c r="K38" t="s">
        <v>23</v>
      </c>
      <c r="L38">
        <v>0.47922130096847698</v>
      </c>
      <c r="M38" t="s">
        <v>50</v>
      </c>
    </row>
    <row r="39" spans="1:13" x14ac:dyDescent="0.3">
      <c r="A39" t="s">
        <v>266</v>
      </c>
      <c r="B39" t="s">
        <v>267</v>
      </c>
      <c r="C39" t="s">
        <v>268</v>
      </c>
      <c r="D39">
        <v>1.0989011E-2</v>
      </c>
      <c r="E39">
        <v>4.85067E-4</v>
      </c>
      <c r="F39">
        <v>4.3257309000000001E-2</v>
      </c>
      <c r="G39">
        <v>9.9011173999999993E-2</v>
      </c>
      <c r="H39">
        <v>5.4640811999999997E-2</v>
      </c>
      <c r="I39" t="s">
        <v>47</v>
      </c>
      <c r="J39">
        <v>1</v>
      </c>
      <c r="K39" t="s">
        <v>17</v>
      </c>
      <c r="L39">
        <v>0.49413283559655302</v>
      </c>
      <c r="M39" t="s">
        <v>152</v>
      </c>
    </row>
    <row r="40" spans="1:13" x14ac:dyDescent="0.3">
      <c r="A40" t="s">
        <v>308</v>
      </c>
      <c r="B40" t="s">
        <v>309</v>
      </c>
      <c r="C40" t="s">
        <v>310</v>
      </c>
      <c r="D40">
        <v>1.0989011E-2</v>
      </c>
      <c r="E40">
        <v>3.1182900000000001E-4</v>
      </c>
      <c r="F40">
        <v>2.8024991999999999E-2</v>
      </c>
      <c r="G40">
        <v>8.4899240000000001E-2</v>
      </c>
      <c r="H40">
        <v>4.6852927000000003E-2</v>
      </c>
      <c r="I40" t="s">
        <v>194</v>
      </c>
      <c r="J40">
        <v>1</v>
      </c>
      <c r="K40" t="s">
        <v>17</v>
      </c>
      <c r="L40">
        <v>0.495912198520849</v>
      </c>
      <c r="M40" t="s">
        <v>310</v>
      </c>
    </row>
    <row r="41" spans="1:13" x14ac:dyDescent="0.3">
      <c r="A41" t="s">
        <v>113</v>
      </c>
      <c r="B41" t="s">
        <v>114</v>
      </c>
      <c r="C41" t="s">
        <v>115</v>
      </c>
      <c r="D41">
        <v>1.0989011E-2</v>
      </c>
      <c r="E41">
        <v>4.5041900000000003E-4</v>
      </c>
      <c r="F41">
        <v>4.0229853000000003E-2</v>
      </c>
      <c r="G41">
        <v>9.6364532000000003E-2</v>
      </c>
      <c r="H41">
        <v>5.3180221999999999E-2</v>
      </c>
      <c r="I41" t="s">
        <v>116</v>
      </c>
      <c r="J41">
        <v>1</v>
      </c>
      <c r="K41" t="s">
        <v>17</v>
      </c>
      <c r="L41">
        <v>0.50066506199231497</v>
      </c>
      <c r="M41" t="s">
        <v>117</v>
      </c>
    </row>
    <row r="42" spans="1:13" x14ac:dyDescent="0.3">
      <c r="A42" t="s">
        <v>261</v>
      </c>
      <c r="B42" t="s">
        <v>262</v>
      </c>
      <c r="C42" t="s">
        <v>263</v>
      </c>
      <c r="D42">
        <v>1.0989011E-2</v>
      </c>
      <c r="E42">
        <v>2.7718099999999999E-4</v>
      </c>
      <c r="F42">
        <v>2.4949869999999999E-2</v>
      </c>
      <c r="G42">
        <v>7.7873837000000001E-2</v>
      </c>
      <c r="H42">
        <v>4.2975853000000001E-2</v>
      </c>
      <c r="I42" t="s">
        <v>116</v>
      </c>
      <c r="J42">
        <v>1</v>
      </c>
      <c r="K42" t="s">
        <v>17</v>
      </c>
      <c r="L42">
        <v>0.50066506199231497</v>
      </c>
      <c r="M42" t="s">
        <v>117</v>
      </c>
    </row>
    <row r="43" spans="1:13" x14ac:dyDescent="0.3">
      <c r="A43" t="s">
        <v>318</v>
      </c>
      <c r="B43" t="s">
        <v>319</v>
      </c>
      <c r="C43" t="s">
        <v>320</v>
      </c>
      <c r="D43">
        <v>1.0989011E-2</v>
      </c>
      <c r="E43">
        <v>4.5041900000000003E-4</v>
      </c>
      <c r="F43">
        <v>4.0229853000000003E-2</v>
      </c>
      <c r="G43">
        <v>9.6364532000000003E-2</v>
      </c>
      <c r="H43">
        <v>5.3180221999999999E-2</v>
      </c>
      <c r="I43" t="s">
        <v>116</v>
      </c>
      <c r="J43">
        <v>1</v>
      </c>
      <c r="K43" t="s">
        <v>17</v>
      </c>
      <c r="L43">
        <v>0.50066506199231497</v>
      </c>
      <c r="M43" t="s">
        <v>117</v>
      </c>
    </row>
    <row r="44" spans="1:13" x14ac:dyDescent="0.3">
      <c r="A44" t="s">
        <v>181</v>
      </c>
      <c r="B44" t="s">
        <v>182</v>
      </c>
      <c r="C44" t="s">
        <v>183</v>
      </c>
      <c r="D44">
        <v>1.6260163000000001E-2</v>
      </c>
      <c r="E44">
        <v>4.34518E-4</v>
      </c>
      <c r="F44">
        <v>1.2826630000000001E-3</v>
      </c>
      <c r="G44">
        <v>3.7624784000000001E-2</v>
      </c>
      <c r="H44">
        <v>2.3853032999999999E-2</v>
      </c>
      <c r="I44" t="s">
        <v>184</v>
      </c>
      <c r="J44">
        <v>2</v>
      </c>
      <c r="K44" t="s">
        <v>23</v>
      </c>
      <c r="L44" t="s">
        <v>185</v>
      </c>
      <c r="M44" t="s">
        <v>84</v>
      </c>
    </row>
    <row r="45" spans="1:13" x14ac:dyDescent="0.3">
      <c r="A45" t="s">
        <v>186</v>
      </c>
      <c r="B45" t="s">
        <v>187</v>
      </c>
      <c r="C45" t="s">
        <v>188</v>
      </c>
      <c r="D45">
        <v>2.4390243999999998E-2</v>
      </c>
      <c r="E45">
        <v>4.5769239999999996E-3</v>
      </c>
      <c r="F45">
        <v>1.908779E-2</v>
      </c>
      <c r="G45">
        <v>7.7697712000000002E-2</v>
      </c>
      <c r="H45">
        <v>4.9258119000000003E-2</v>
      </c>
      <c r="I45" t="s">
        <v>189</v>
      </c>
      <c r="J45">
        <v>3</v>
      </c>
      <c r="K45" t="s">
        <v>23</v>
      </c>
      <c r="L45" t="s">
        <v>190</v>
      </c>
      <c r="M45" t="s">
        <v>188</v>
      </c>
    </row>
    <row r="46" spans="1:13" x14ac:dyDescent="0.3">
      <c r="A46" t="s">
        <v>191</v>
      </c>
      <c r="B46" t="s">
        <v>192</v>
      </c>
      <c r="C46" t="s">
        <v>193</v>
      </c>
      <c r="D46">
        <v>8.1300810000000008E-3</v>
      </c>
      <c r="E46">
        <v>3.1864699999999997E-4</v>
      </c>
      <c r="F46">
        <v>3.8508182000000002E-2</v>
      </c>
      <c r="G46">
        <v>9.9668234999999994E-2</v>
      </c>
      <c r="H46">
        <v>6.3186799000000002E-2</v>
      </c>
      <c r="I46" t="s">
        <v>194</v>
      </c>
      <c r="J46">
        <v>1</v>
      </c>
      <c r="K46" t="s">
        <v>23</v>
      </c>
      <c r="L46">
        <v>0.495912198520849</v>
      </c>
      <c r="M46" t="s">
        <v>46</v>
      </c>
    </row>
    <row r="47" spans="1:13" x14ac:dyDescent="0.3">
      <c r="A47" t="s">
        <v>195</v>
      </c>
      <c r="B47" t="s">
        <v>196</v>
      </c>
      <c r="C47" t="s">
        <v>197</v>
      </c>
      <c r="D47">
        <v>8.1300810000000008E-3</v>
      </c>
      <c r="E47">
        <v>2.3174299999999999E-4</v>
      </c>
      <c r="F47">
        <v>2.8154261E-2</v>
      </c>
      <c r="G47">
        <v>8.8484819000000006E-2</v>
      </c>
      <c r="H47">
        <v>5.6096834999999998E-2</v>
      </c>
      <c r="I47" t="s">
        <v>64</v>
      </c>
      <c r="J47">
        <v>1</v>
      </c>
      <c r="K47" t="s">
        <v>23</v>
      </c>
      <c r="L47">
        <v>0.67808386981047497</v>
      </c>
      <c r="M47" t="s">
        <v>63</v>
      </c>
    </row>
    <row r="48" spans="1:13" x14ac:dyDescent="0.3">
      <c r="A48" t="s">
        <v>198</v>
      </c>
      <c r="B48" t="s">
        <v>199</v>
      </c>
      <c r="C48" t="s">
        <v>200</v>
      </c>
      <c r="D48">
        <v>1.6260163000000001E-2</v>
      </c>
      <c r="E48">
        <v>1.7670400000000001E-3</v>
      </c>
      <c r="F48">
        <v>2.0095110999999999E-2</v>
      </c>
      <c r="G48">
        <v>7.7697712000000002E-2</v>
      </c>
      <c r="H48">
        <v>4.9258119000000003E-2</v>
      </c>
      <c r="I48" t="s">
        <v>201</v>
      </c>
      <c r="J48">
        <v>2</v>
      </c>
      <c r="K48" t="s">
        <v>23</v>
      </c>
      <c r="L48" t="s">
        <v>202</v>
      </c>
      <c r="M48" t="s">
        <v>39</v>
      </c>
    </row>
    <row r="49" spans="1:13" x14ac:dyDescent="0.3">
      <c r="A49" t="s">
        <v>30</v>
      </c>
      <c r="B49" t="s">
        <v>31</v>
      </c>
      <c r="C49" t="s">
        <v>32</v>
      </c>
      <c r="D49">
        <v>1.0989011E-2</v>
      </c>
      <c r="E49">
        <v>3.4647600000000002E-4</v>
      </c>
      <c r="F49">
        <v>3.1090520999999999E-2</v>
      </c>
      <c r="G49">
        <v>8.6549289000000001E-2</v>
      </c>
      <c r="H49">
        <v>4.7763531999999997E-2</v>
      </c>
      <c r="I49" t="s">
        <v>33</v>
      </c>
      <c r="J49">
        <v>1</v>
      </c>
      <c r="K49" t="s">
        <v>17</v>
      </c>
      <c r="L49">
        <v>0.59357305943641603</v>
      </c>
      <c r="M49" t="s">
        <v>34</v>
      </c>
    </row>
    <row r="50" spans="1:13" x14ac:dyDescent="0.3">
      <c r="A50" t="s">
        <v>207</v>
      </c>
      <c r="B50" t="s">
        <v>208</v>
      </c>
      <c r="C50" t="s">
        <v>209</v>
      </c>
      <c r="D50">
        <v>8.1300810000000008E-3</v>
      </c>
      <c r="E50">
        <v>1.73807E-4</v>
      </c>
      <c r="F50">
        <v>2.1190285E-2</v>
      </c>
      <c r="G50">
        <v>7.7697712000000002E-2</v>
      </c>
      <c r="H50">
        <v>4.9258119000000003E-2</v>
      </c>
      <c r="I50" t="s">
        <v>210</v>
      </c>
      <c r="J50">
        <v>1</v>
      </c>
      <c r="K50" t="s">
        <v>23</v>
      </c>
      <c r="L50">
        <v>0.97122191038082994</v>
      </c>
      <c r="M50" t="s">
        <v>63</v>
      </c>
    </row>
    <row r="51" spans="1:13" x14ac:dyDescent="0.3">
      <c r="A51" t="s">
        <v>211</v>
      </c>
      <c r="B51" t="s">
        <v>212</v>
      </c>
      <c r="C51" t="s">
        <v>213</v>
      </c>
      <c r="D51">
        <v>1.0989011E-2</v>
      </c>
      <c r="E51">
        <v>2.7718099999999999E-4</v>
      </c>
      <c r="F51">
        <v>2.4949869999999999E-2</v>
      </c>
      <c r="G51">
        <v>7.7873837000000001E-2</v>
      </c>
      <c r="H51">
        <v>4.2975853000000001E-2</v>
      </c>
      <c r="I51" t="s">
        <v>33</v>
      </c>
      <c r="J51">
        <v>1</v>
      </c>
      <c r="K51" t="s">
        <v>17</v>
      </c>
      <c r="L51">
        <v>0.59357305943641603</v>
      </c>
      <c r="M51" t="s">
        <v>34</v>
      </c>
    </row>
    <row r="52" spans="1:13" x14ac:dyDescent="0.3">
      <c r="A52" t="s">
        <v>235</v>
      </c>
      <c r="B52" t="s">
        <v>236</v>
      </c>
      <c r="C52" t="s">
        <v>237</v>
      </c>
      <c r="D52">
        <v>1.0989011E-2</v>
      </c>
      <c r="E52">
        <v>3.8112399999999999E-4</v>
      </c>
      <c r="F52">
        <v>3.4146488000000003E-2</v>
      </c>
      <c r="G52">
        <v>9.2554955999999994E-2</v>
      </c>
      <c r="H52">
        <v>5.1077850000000001E-2</v>
      </c>
      <c r="I52" t="s">
        <v>33</v>
      </c>
      <c r="J52">
        <v>1</v>
      </c>
      <c r="K52" t="s">
        <v>17</v>
      </c>
      <c r="L52">
        <v>0.59357305943641603</v>
      </c>
      <c r="M52" t="s">
        <v>169</v>
      </c>
    </row>
    <row r="53" spans="1:13" x14ac:dyDescent="0.3">
      <c r="A53" t="s">
        <v>218</v>
      </c>
      <c r="B53" t="s">
        <v>219</v>
      </c>
      <c r="C53" t="s">
        <v>220</v>
      </c>
      <c r="D53">
        <v>3.2520325000000003E-2</v>
      </c>
      <c r="E53">
        <v>6.3149970000000001E-3</v>
      </c>
      <c r="F53">
        <v>7.8260139999999992E-3</v>
      </c>
      <c r="G53">
        <v>7.7697712000000002E-2</v>
      </c>
      <c r="H53">
        <v>4.9258119000000003E-2</v>
      </c>
      <c r="I53" t="s">
        <v>221</v>
      </c>
      <c r="J53">
        <v>4</v>
      </c>
      <c r="K53" t="s">
        <v>23</v>
      </c>
      <c r="L53" t="s">
        <v>222</v>
      </c>
      <c r="M53" t="s">
        <v>39</v>
      </c>
    </row>
    <row r="54" spans="1:13" x14ac:dyDescent="0.3">
      <c r="A54" t="s">
        <v>118</v>
      </c>
      <c r="B54" t="s">
        <v>119</v>
      </c>
      <c r="C54" t="s">
        <v>120</v>
      </c>
      <c r="D54">
        <v>1.0989011E-2</v>
      </c>
      <c r="E54" s="1">
        <v>6.9300000000000004E-5</v>
      </c>
      <c r="F54">
        <v>6.296037E-3</v>
      </c>
      <c r="G54">
        <v>4.3232789000000001E-2</v>
      </c>
      <c r="H54">
        <v>2.3858667E-2</v>
      </c>
      <c r="I54" t="s">
        <v>121</v>
      </c>
      <c r="J54">
        <v>1</v>
      </c>
      <c r="K54" t="s">
        <v>17</v>
      </c>
      <c r="L54">
        <v>0.60135627456804697</v>
      </c>
      <c r="M54" t="s">
        <v>120</v>
      </c>
    </row>
    <row r="55" spans="1:13" x14ac:dyDescent="0.3">
      <c r="A55" t="s">
        <v>226</v>
      </c>
      <c r="B55" t="s">
        <v>227</v>
      </c>
      <c r="C55" t="s">
        <v>228</v>
      </c>
      <c r="D55">
        <v>8.1300810000000008E-3</v>
      </c>
      <c r="E55">
        <v>1.15871E-4</v>
      </c>
      <c r="F55">
        <v>1.4176816E-2</v>
      </c>
      <c r="G55">
        <v>7.7697712000000002E-2</v>
      </c>
      <c r="H55">
        <v>4.9258119000000003E-2</v>
      </c>
      <c r="I55" t="s">
        <v>121</v>
      </c>
      <c r="J55">
        <v>1</v>
      </c>
      <c r="K55" t="s">
        <v>23</v>
      </c>
      <c r="L55">
        <v>0.60135627456804697</v>
      </c>
      <c r="M55" t="s">
        <v>39</v>
      </c>
    </row>
    <row r="56" spans="1:13" x14ac:dyDescent="0.3">
      <c r="A56" t="s">
        <v>229</v>
      </c>
      <c r="B56" t="s">
        <v>53</v>
      </c>
      <c r="C56" t="s">
        <v>230</v>
      </c>
      <c r="D56">
        <v>8.1300810000000008E-3</v>
      </c>
      <c r="E56" s="1">
        <v>8.6899999999999998E-5</v>
      </c>
      <c r="F56">
        <v>1.0651412000000001E-2</v>
      </c>
      <c r="G56">
        <v>7.7697712000000002E-2</v>
      </c>
      <c r="H56">
        <v>4.9258119000000003E-2</v>
      </c>
      <c r="I56" t="s">
        <v>55</v>
      </c>
      <c r="J56">
        <v>1</v>
      </c>
      <c r="K56" t="s">
        <v>23</v>
      </c>
      <c r="L56">
        <v>-0.666546084331189</v>
      </c>
      <c r="M56" t="s">
        <v>39</v>
      </c>
    </row>
    <row r="57" spans="1:13" x14ac:dyDescent="0.3">
      <c r="A57" t="s">
        <v>153</v>
      </c>
      <c r="B57" t="s">
        <v>154</v>
      </c>
      <c r="C57" t="s">
        <v>155</v>
      </c>
      <c r="D57">
        <v>1.0989011E-2</v>
      </c>
      <c r="E57">
        <v>4.1577200000000002E-4</v>
      </c>
      <c r="F57">
        <v>3.7192923000000003E-2</v>
      </c>
      <c r="G57">
        <v>9.5771776000000003E-2</v>
      </c>
      <c r="H57">
        <v>5.28531E-2</v>
      </c>
      <c r="I57" t="s">
        <v>156</v>
      </c>
      <c r="J57">
        <v>1</v>
      </c>
      <c r="K57" t="s">
        <v>17</v>
      </c>
      <c r="L57">
        <v>0.606730143262602</v>
      </c>
      <c r="M57" t="s">
        <v>155</v>
      </c>
    </row>
    <row r="58" spans="1:13" x14ac:dyDescent="0.3">
      <c r="A58" t="s">
        <v>13</v>
      </c>
      <c r="B58" t="s">
        <v>14</v>
      </c>
      <c r="C58" t="s">
        <v>15</v>
      </c>
      <c r="D58">
        <v>1.0989011E-2</v>
      </c>
      <c r="E58">
        <v>3.4647600000000002E-4</v>
      </c>
      <c r="F58">
        <v>3.1090520999999999E-2</v>
      </c>
      <c r="G58">
        <v>8.6549289000000001E-2</v>
      </c>
      <c r="H58">
        <v>4.7763531999999997E-2</v>
      </c>
      <c r="I58" t="s">
        <v>16</v>
      </c>
      <c r="J58">
        <v>1</v>
      </c>
      <c r="K58" t="s">
        <v>17</v>
      </c>
      <c r="L58">
        <v>0.62558464905966105</v>
      </c>
      <c r="M58" t="s">
        <v>18</v>
      </c>
    </row>
    <row r="59" spans="1:13" x14ac:dyDescent="0.3">
      <c r="A59" t="s">
        <v>289</v>
      </c>
      <c r="B59" t="s">
        <v>290</v>
      </c>
      <c r="C59" t="s">
        <v>291</v>
      </c>
      <c r="D59">
        <v>1.0989011E-2</v>
      </c>
      <c r="E59">
        <v>5.1971500000000002E-4</v>
      </c>
      <c r="F59">
        <v>4.6275320000000002E-2</v>
      </c>
      <c r="G59">
        <v>9.9299125000000002E-2</v>
      </c>
      <c r="H59">
        <v>5.4799721000000003E-2</v>
      </c>
      <c r="I59" t="s">
        <v>16</v>
      </c>
      <c r="J59">
        <v>1</v>
      </c>
      <c r="K59" t="s">
        <v>17</v>
      </c>
      <c r="L59">
        <v>0.62558464905966105</v>
      </c>
      <c r="M59" t="s">
        <v>291</v>
      </c>
    </row>
    <row r="60" spans="1:13" x14ac:dyDescent="0.3">
      <c r="A60" t="s">
        <v>87</v>
      </c>
      <c r="B60" t="s">
        <v>88</v>
      </c>
      <c r="C60" t="s">
        <v>89</v>
      </c>
      <c r="D60">
        <v>1.0989011E-2</v>
      </c>
      <c r="E60">
        <v>3.4647600000000002E-4</v>
      </c>
      <c r="F60">
        <v>3.1090520999999999E-2</v>
      </c>
      <c r="G60">
        <v>8.6549289000000001E-2</v>
      </c>
      <c r="H60">
        <v>4.7763531999999997E-2</v>
      </c>
      <c r="I60" t="s">
        <v>43</v>
      </c>
      <c r="J60">
        <v>1</v>
      </c>
      <c r="K60" t="s">
        <v>17</v>
      </c>
      <c r="L60">
        <v>0.65952099346997395</v>
      </c>
      <c r="M60" t="s">
        <v>90</v>
      </c>
    </row>
    <row r="61" spans="1:13" x14ac:dyDescent="0.3">
      <c r="A61" t="s">
        <v>91</v>
      </c>
      <c r="B61" t="s">
        <v>92</v>
      </c>
      <c r="C61" t="s">
        <v>90</v>
      </c>
      <c r="D61">
        <v>1.0989011E-2</v>
      </c>
      <c r="E61">
        <v>2.4253299999999999E-4</v>
      </c>
      <c r="F61">
        <v>2.1865127000000002E-2</v>
      </c>
      <c r="G61">
        <v>7.5070267999999996E-2</v>
      </c>
      <c r="H61">
        <v>4.1428660999999999E-2</v>
      </c>
      <c r="I61" t="s">
        <v>43</v>
      </c>
      <c r="J61">
        <v>1</v>
      </c>
      <c r="K61" t="s">
        <v>17</v>
      </c>
      <c r="L61">
        <v>0.65952099346997395</v>
      </c>
      <c r="M61" t="s">
        <v>90</v>
      </c>
    </row>
    <row r="62" spans="1:13" x14ac:dyDescent="0.3">
      <c r="A62" t="s">
        <v>300</v>
      </c>
      <c r="B62" t="s">
        <v>301</v>
      </c>
      <c r="C62" t="s">
        <v>302</v>
      </c>
      <c r="D62">
        <v>1.0989011E-2</v>
      </c>
      <c r="E62">
        <v>2.4253299999999999E-4</v>
      </c>
      <c r="F62">
        <v>2.1865127000000002E-2</v>
      </c>
      <c r="G62">
        <v>7.5070267999999996E-2</v>
      </c>
      <c r="H62">
        <v>4.1428660999999999E-2</v>
      </c>
      <c r="I62" t="s">
        <v>43</v>
      </c>
      <c r="J62">
        <v>1</v>
      </c>
      <c r="K62" t="s">
        <v>17</v>
      </c>
      <c r="L62">
        <v>0.65952099346997395</v>
      </c>
      <c r="M62" t="s">
        <v>90</v>
      </c>
    </row>
    <row r="63" spans="1:13" x14ac:dyDescent="0.3">
      <c r="A63" t="s">
        <v>252</v>
      </c>
      <c r="B63" t="s">
        <v>253</v>
      </c>
      <c r="C63" t="s">
        <v>254</v>
      </c>
      <c r="D63">
        <v>2.4390243999999998E-2</v>
      </c>
      <c r="E63">
        <v>4.0265350000000004E-3</v>
      </c>
      <c r="F63">
        <v>1.3606033999999999E-2</v>
      </c>
      <c r="G63">
        <v>7.7697712000000002E-2</v>
      </c>
      <c r="H63">
        <v>4.9258119000000003E-2</v>
      </c>
      <c r="I63" t="s">
        <v>255</v>
      </c>
      <c r="J63">
        <v>3</v>
      </c>
      <c r="K63" t="s">
        <v>23</v>
      </c>
      <c r="L63" t="s">
        <v>256</v>
      </c>
      <c r="M63" t="s">
        <v>39</v>
      </c>
    </row>
    <row r="64" spans="1:13" x14ac:dyDescent="0.3">
      <c r="A64" t="s">
        <v>257</v>
      </c>
      <c r="B64" t="s">
        <v>258</v>
      </c>
      <c r="C64" t="s">
        <v>259</v>
      </c>
      <c r="D64">
        <v>3.2520325000000003E-2</v>
      </c>
      <c r="E64">
        <v>8.0530689999999995E-3</v>
      </c>
      <c r="F64">
        <v>1.7713735000000001E-2</v>
      </c>
      <c r="G64">
        <v>7.7697712000000002E-2</v>
      </c>
      <c r="H64">
        <v>4.9258119000000003E-2</v>
      </c>
      <c r="I64" t="s">
        <v>260</v>
      </c>
      <c r="J64">
        <v>4</v>
      </c>
      <c r="K64" t="s">
        <v>23</v>
      </c>
      <c r="L64">
        <f>-0.393016998709385/-0.871481359684006/0.678083869810475/-0.666546084331189</f>
        <v>-0.99779112672610026</v>
      </c>
      <c r="M64" t="s">
        <v>39</v>
      </c>
    </row>
    <row r="65" spans="1:13" x14ac:dyDescent="0.3">
      <c r="A65" t="s">
        <v>241</v>
      </c>
      <c r="B65" t="s">
        <v>242</v>
      </c>
      <c r="C65" t="s">
        <v>243</v>
      </c>
      <c r="D65">
        <v>1.0989011E-2</v>
      </c>
      <c r="E65">
        <v>1.7323800000000001E-4</v>
      </c>
      <c r="F65">
        <v>1.5666655000000002E-2</v>
      </c>
      <c r="G65">
        <v>6.2064056999999999E-2</v>
      </c>
      <c r="H65">
        <v>3.4250986999999997E-2</v>
      </c>
      <c r="I65" t="s">
        <v>64</v>
      </c>
      <c r="J65">
        <v>1</v>
      </c>
      <c r="K65" t="s">
        <v>17</v>
      </c>
      <c r="L65">
        <v>0.67808386981047497</v>
      </c>
      <c r="M65" t="s">
        <v>110</v>
      </c>
    </row>
    <row r="66" spans="1:13" x14ac:dyDescent="0.3">
      <c r="A66" t="s">
        <v>269</v>
      </c>
      <c r="B66" t="s">
        <v>270</v>
      </c>
      <c r="C66" t="s">
        <v>271</v>
      </c>
      <c r="D66">
        <v>1.0989011E-2</v>
      </c>
      <c r="E66">
        <v>1.38591E-4</v>
      </c>
      <c r="F66">
        <v>1.2552867000000001E-2</v>
      </c>
      <c r="G66">
        <v>6.1568825000000001E-2</v>
      </c>
      <c r="H66">
        <v>3.3977686E-2</v>
      </c>
      <c r="I66" t="s">
        <v>272</v>
      </c>
      <c r="J66">
        <v>1</v>
      </c>
      <c r="K66" t="s">
        <v>17</v>
      </c>
      <c r="L66">
        <v>0.69111970697698599</v>
      </c>
      <c r="M66" t="s">
        <v>271</v>
      </c>
    </row>
    <row r="67" spans="1:13" x14ac:dyDescent="0.3">
      <c r="A67" t="s">
        <v>149</v>
      </c>
      <c r="B67" t="s">
        <v>150</v>
      </c>
      <c r="C67" t="s">
        <v>151</v>
      </c>
      <c r="D67">
        <v>1.0989011E-2</v>
      </c>
      <c r="E67">
        <v>2.7718099999999999E-4</v>
      </c>
      <c r="F67">
        <v>2.4949869999999999E-2</v>
      </c>
      <c r="G67">
        <v>7.7873837000000001E-2</v>
      </c>
      <c r="H67">
        <v>4.2975853000000001E-2</v>
      </c>
      <c r="I67" t="s">
        <v>148</v>
      </c>
      <c r="J67">
        <v>1</v>
      </c>
      <c r="K67" t="s">
        <v>17</v>
      </c>
      <c r="L67">
        <v>0.83442205148767501</v>
      </c>
      <c r="M67" t="s">
        <v>152</v>
      </c>
    </row>
    <row r="68" spans="1:13" x14ac:dyDescent="0.3">
      <c r="A68" t="s">
        <v>103</v>
      </c>
      <c r="B68" t="s">
        <v>104</v>
      </c>
      <c r="C68" t="s">
        <v>105</v>
      </c>
      <c r="D68">
        <v>1.0989011E-2</v>
      </c>
      <c r="E68">
        <v>1.7323800000000001E-4</v>
      </c>
      <c r="F68">
        <v>1.5666655000000002E-2</v>
      </c>
      <c r="G68">
        <v>6.2064056999999999E-2</v>
      </c>
      <c r="H68">
        <v>3.4250986999999997E-2</v>
      </c>
      <c r="I68" t="s">
        <v>73</v>
      </c>
      <c r="J68">
        <v>1</v>
      </c>
      <c r="K68" t="s">
        <v>17</v>
      </c>
      <c r="L68">
        <v>0.87840948723377599</v>
      </c>
      <c r="M68" t="s">
        <v>105</v>
      </c>
    </row>
    <row r="69" spans="1:13" x14ac:dyDescent="0.3">
      <c r="A69" t="s">
        <v>273</v>
      </c>
      <c r="B69" t="s">
        <v>274</v>
      </c>
      <c r="C69" t="s">
        <v>275</v>
      </c>
      <c r="D69">
        <v>4.0650407E-2</v>
      </c>
      <c r="E69">
        <v>1.0022885E-2</v>
      </c>
      <c r="F69">
        <v>8.1121130000000007E-3</v>
      </c>
      <c r="G69">
        <v>7.7697712000000002E-2</v>
      </c>
      <c r="H69">
        <v>4.9258119000000003E-2</v>
      </c>
      <c r="I69" t="s">
        <v>276</v>
      </c>
      <c r="J69">
        <v>5</v>
      </c>
      <c r="K69" t="s">
        <v>23</v>
      </c>
      <c r="L69" t="s">
        <v>277</v>
      </c>
      <c r="M69" t="s">
        <v>39</v>
      </c>
    </row>
    <row r="70" spans="1:13" x14ac:dyDescent="0.3">
      <c r="A70" t="s">
        <v>106</v>
      </c>
      <c r="B70" t="s">
        <v>104</v>
      </c>
      <c r="C70" t="s">
        <v>107</v>
      </c>
      <c r="D70">
        <v>1.0989011E-2</v>
      </c>
      <c r="E70">
        <v>4.5041900000000003E-4</v>
      </c>
      <c r="F70">
        <v>4.0229853000000003E-2</v>
      </c>
      <c r="G70">
        <v>9.6364532000000003E-2</v>
      </c>
      <c r="H70">
        <v>5.3180221999999999E-2</v>
      </c>
      <c r="I70" t="s">
        <v>73</v>
      </c>
      <c r="J70">
        <v>1</v>
      </c>
      <c r="K70" t="s">
        <v>17</v>
      </c>
      <c r="L70">
        <v>0.87840948723377599</v>
      </c>
      <c r="M70" t="s">
        <v>105</v>
      </c>
    </row>
    <row r="71" spans="1:13" x14ac:dyDescent="0.3">
      <c r="A71" t="s">
        <v>292</v>
      </c>
      <c r="B71" t="s">
        <v>293</v>
      </c>
      <c r="C71" t="s">
        <v>294</v>
      </c>
      <c r="D71">
        <v>2.1978022E-2</v>
      </c>
      <c r="E71">
        <v>1.0740770000000001E-3</v>
      </c>
      <c r="F71">
        <v>4.3078819999999999E-3</v>
      </c>
      <c r="G71">
        <v>4.0337443000000001E-2</v>
      </c>
      <c r="H71">
        <v>2.2260827E-2</v>
      </c>
      <c r="I71" t="s">
        <v>295</v>
      </c>
      <c r="J71">
        <v>2</v>
      </c>
      <c r="K71" t="s">
        <v>17</v>
      </c>
      <c r="L71">
        <f>-0.638118642497244/-0.543687957801417</f>
        <v>1.1736854446394012</v>
      </c>
      <c r="M71" t="s">
        <v>294</v>
      </c>
    </row>
    <row r="72" spans="1:13" x14ac:dyDescent="0.3">
      <c r="A72" t="s">
        <v>286</v>
      </c>
      <c r="B72" t="s">
        <v>287</v>
      </c>
      <c r="C72" t="s">
        <v>288</v>
      </c>
      <c r="D72">
        <v>1.0989011E-2</v>
      </c>
      <c r="E72" s="1">
        <v>3.4600000000000001E-5</v>
      </c>
      <c r="F72">
        <v>3.1529349999999999E-3</v>
      </c>
      <c r="G72">
        <v>3.2475227000000002E-2</v>
      </c>
      <c r="H72">
        <v>1.7921943999999999E-2</v>
      </c>
      <c r="I72" t="s">
        <v>29</v>
      </c>
      <c r="J72">
        <v>1</v>
      </c>
      <c r="K72" t="s">
        <v>17</v>
      </c>
      <c r="L72">
        <v>1.5792851569573401</v>
      </c>
      <c r="M72" t="s">
        <v>288</v>
      </c>
    </row>
    <row r="73" spans="1:13" x14ac:dyDescent="0.3">
      <c r="A73" t="s">
        <v>98</v>
      </c>
      <c r="B73" t="s">
        <v>99</v>
      </c>
      <c r="C73" t="s">
        <v>100</v>
      </c>
      <c r="D73">
        <v>2.1978022E-2</v>
      </c>
      <c r="E73">
        <v>3.291525E-3</v>
      </c>
      <c r="F73">
        <v>3.6328497000000001E-2</v>
      </c>
      <c r="G73">
        <v>9.5771776000000003E-2</v>
      </c>
      <c r="H73">
        <v>5.28531E-2</v>
      </c>
      <c r="I73" t="s">
        <v>101</v>
      </c>
      <c r="J73">
        <v>2</v>
      </c>
      <c r="K73" t="s">
        <v>17</v>
      </c>
      <c r="L73" t="s">
        <v>102</v>
      </c>
      <c r="M73" t="s">
        <v>18</v>
      </c>
    </row>
    <row r="74" spans="1:13" x14ac:dyDescent="0.3">
      <c r="A74" t="s">
        <v>321</v>
      </c>
      <c r="B74" t="s">
        <v>322</v>
      </c>
      <c r="C74" t="s">
        <v>323</v>
      </c>
      <c r="D74">
        <v>2.1978022E-2</v>
      </c>
      <c r="E74" s="1">
        <v>6.9300000000000004E-5</v>
      </c>
      <c r="F74" s="1">
        <v>9.8300000000000008E-6</v>
      </c>
      <c r="G74">
        <v>1.0127059999999999E-3</v>
      </c>
      <c r="H74">
        <v>5.5887700000000005E-4</v>
      </c>
      <c r="I74" t="s">
        <v>101</v>
      </c>
      <c r="J74">
        <v>2</v>
      </c>
      <c r="K74" t="s">
        <v>17</v>
      </c>
      <c r="L74" t="s">
        <v>102</v>
      </c>
      <c r="M74" t="s">
        <v>323</v>
      </c>
    </row>
    <row r="75" spans="1:13" x14ac:dyDescent="0.3">
      <c r="A75" t="s">
        <v>238</v>
      </c>
      <c r="B75" t="s">
        <v>239</v>
      </c>
      <c r="C75" t="s">
        <v>240</v>
      </c>
      <c r="D75">
        <v>2.1978022E-2</v>
      </c>
      <c r="E75">
        <v>4.1577200000000002E-4</v>
      </c>
      <c r="F75">
        <v>6.3571400000000001E-4</v>
      </c>
      <c r="G75">
        <v>1.6369626000000002E-2</v>
      </c>
      <c r="H75">
        <v>9.0338250000000005E-3</v>
      </c>
      <c r="I75" t="s">
        <v>201</v>
      </c>
      <c r="J75">
        <v>2</v>
      </c>
      <c r="K75" t="s">
        <v>17</v>
      </c>
      <c r="L75" t="s">
        <v>202</v>
      </c>
      <c r="M75" t="s">
        <v>240</v>
      </c>
    </row>
    <row r="76" spans="1:13" x14ac:dyDescent="0.3">
      <c r="A76" t="s">
        <v>244</v>
      </c>
      <c r="B76" t="s">
        <v>245</v>
      </c>
      <c r="C76" t="s">
        <v>246</v>
      </c>
      <c r="D76">
        <v>2.1978022E-2</v>
      </c>
      <c r="E76">
        <v>7.9689599999999995E-4</v>
      </c>
      <c r="F76">
        <v>2.382543E-3</v>
      </c>
      <c r="G76">
        <v>3.2475227000000002E-2</v>
      </c>
      <c r="H76">
        <v>1.7921943999999999E-2</v>
      </c>
      <c r="I76" t="s">
        <v>201</v>
      </c>
      <c r="J76">
        <v>2</v>
      </c>
      <c r="K76" t="s">
        <v>17</v>
      </c>
      <c r="L76" t="s">
        <v>202</v>
      </c>
      <c r="M76" t="s">
        <v>125</v>
      </c>
    </row>
    <row r="77" spans="1:13" x14ac:dyDescent="0.3">
      <c r="A77" t="s">
        <v>303</v>
      </c>
      <c r="B77" t="s">
        <v>304</v>
      </c>
      <c r="C77" t="s">
        <v>305</v>
      </c>
      <c r="D77">
        <v>8.1300810000000008E-3</v>
      </c>
      <c r="E77">
        <v>1.15871E-4</v>
      </c>
      <c r="F77">
        <v>1.4176816E-2</v>
      </c>
      <c r="G77">
        <v>7.7697712000000002E-2</v>
      </c>
      <c r="H77">
        <v>4.9258119000000003E-2</v>
      </c>
      <c r="I77" t="s">
        <v>16</v>
      </c>
      <c r="J77">
        <v>1</v>
      </c>
      <c r="K77" t="s">
        <v>23</v>
      </c>
      <c r="L77">
        <v>0.62558464905966105</v>
      </c>
      <c r="M77" t="s">
        <v>39</v>
      </c>
    </row>
    <row r="78" spans="1:13" x14ac:dyDescent="0.3">
      <c r="A78" t="s">
        <v>282</v>
      </c>
      <c r="B78" t="s">
        <v>283</v>
      </c>
      <c r="C78" t="s">
        <v>34</v>
      </c>
      <c r="D78">
        <v>2.1978022E-2</v>
      </c>
      <c r="E78">
        <v>2.7718099999999999E-4</v>
      </c>
      <c r="F78">
        <v>2.7192200000000002E-4</v>
      </c>
      <c r="G78">
        <v>9.3359930000000008E-3</v>
      </c>
      <c r="H78">
        <v>5.1522089999999996E-3</v>
      </c>
      <c r="I78" t="s">
        <v>284</v>
      </c>
      <c r="J78">
        <v>2</v>
      </c>
      <c r="K78" t="s">
        <v>17</v>
      </c>
      <c r="L78" t="s">
        <v>285</v>
      </c>
      <c r="M78" t="s">
        <v>34</v>
      </c>
    </row>
    <row r="79" spans="1:13" x14ac:dyDescent="0.3">
      <c r="A79" t="s">
        <v>247</v>
      </c>
      <c r="B79" t="s">
        <v>248</v>
      </c>
      <c r="C79" t="s">
        <v>249</v>
      </c>
      <c r="D79">
        <v>2.1978022E-2</v>
      </c>
      <c r="E79">
        <v>3.707297E-3</v>
      </c>
      <c r="F79">
        <v>4.5041411000000003E-2</v>
      </c>
      <c r="G79">
        <v>9.9299125000000002E-2</v>
      </c>
      <c r="H79">
        <v>5.4799721000000003E-2</v>
      </c>
      <c r="I79" t="s">
        <v>250</v>
      </c>
      <c r="J79">
        <v>2</v>
      </c>
      <c r="K79" t="s">
        <v>17</v>
      </c>
      <c r="L79" t="s">
        <v>251</v>
      </c>
      <c r="M79" t="s">
        <v>117</v>
      </c>
    </row>
    <row r="80" spans="1:13" x14ac:dyDescent="0.3">
      <c r="A80" t="s">
        <v>108</v>
      </c>
      <c r="B80" t="s">
        <v>109</v>
      </c>
      <c r="C80" t="s">
        <v>110</v>
      </c>
      <c r="D80">
        <v>2.1978022E-2</v>
      </c>
      <c r="E80">
        <v>4.85067E-4</v>
      </c>
      <c r="F80">
        <v>8.7292299999999995E-4</v>
      </c>
      <c r="G80">
        <v>1.7982207E-2</v>
      </c>
      <c r="H80">
        <v>9.9237519999999992E-3</v>
      </c>
      <c r="I80" t="s">
        <v>111</v>
      </c>
      <c r="J80">
        <v>2</v>
      </c>
      <c r="K80" t="s">
        <v>17</v>
      </c>
      <c r="L80" t="s">
        <v>112</v>
      </c>
      <c r="M80" t="s">
        <v>110</v>
      </c>
    </row>
    <row r="81" spans="1:13" x14ac:dyDescent="0.3">
      <c r="A81" t="s">
        <v>314</v>
      </c>
      <c r="B81" t="s">
        <v>315</v>
      </c>
      <c r="C81" t="s">
        <v>25</v>
      </c>
      <c r="D81">
        <v>3.2520325000000003E-2</v>
      </c>
      <c r="E81">
        <v>3.244402E-3</v>
      </c>
      <c r="F81">
        <v>7.0832499999999999E-4</v>
      </c>
      <c r="G81">
        <v>3.1166313000000001E-2</v>
      </c>
      <c r="H81">
        <v>1.9758547000000001E-2</v>
      </c>
      <c r="I81" t="s">
        <v>316</v>
      </c>
      <c r="J81">
        <v>4</v>
      </c>
      <c r="K81" t="s">
        <v>23</v>
      </c>
      <c r="L81" t="s">
        <v>317</v>
      </c>
      <c r="M81" t="s">
        <v>25</v>
      </c>
    </row>
    <row r="82" spans="1:13" x14ac:dyDescent="0.3">
      <c r="A82" t="s">
        <v>138</v>
      </c>
      <c r="B82" t="s">
        <v>94</v>
      </c>
      <c r="C82" t="s">
        <v>139</v>
      </c>
      <c r="D82">
        <v>3.2967033E-2</v>
      </c>
      <c r="E82">
        <v>5.4050310000000002E-3</v>
      </c>
      <c r="F82">
        <v>1.3302516E-2</v>
      </c>
      <c r="G82">
        <v>6.2064056999999999E-2</v>
      </c>
      <c r="H82">
        <v>3.4250986999999997E-2</v>
      </c>
      <c r="I82" t="s">
        <v>140</v>
      </c>
      <c r="J82">
        <v>3</v>
      </c>
      <c r="K82" t="s">
        <v>17</v>
      </c>
      <c r="L82" t="s">
        <v>141</v>
      </c>
      <c r="M82" t="s">
        <v>97</v>
      </c>
    </row>
    <row r="83" spans="1:13" x14ac:dyDescent="0.3">
      <c r="A83" t="s">
        <v>264</v>
      </c>
      <c r="B83" t="s">
        <v>265</v>
      </c>
      <c r="C83" t="s">
        <v>97</v>
      </c>
      <c r="D83">
        <v>2.1978022E-2</v>
      </c>
      <c r="E83">
        <v>2.7718099999999999E-4</v>
      </c>
      <c r="F83">
        <v>2.7192200000000002E-4</v>
      </c>
      <c r="G83">
        <v>9.3359930000000008E-3</v>
      </c>
      <c r="H83">
        <v>5.1522089999999996E-3</v>
      </c>
      <c r="I83" t="s">
        <v>85</v>
      </c>
      <c r="J83">
        <v>2</v>
      </c>
      <c r="K83" t="s">
        <v>17</v>
      </c>
      <c r="L83" t="s">
        <v>86</v>
      </c>
      <c r="M83" t="s">
        <v>97</v>
      </c>
    </row>
  </sheetData>
  <autoFilter ref="A1:M83" xr:uid="{22367674-FF78-4117-A5FB-FA17B2099A98}">
    <sortState xmlns:xlrd2="http://schemas.microsoft.com/office/spreadsheetml/2017/richdata2" ref="A2:M83">
      <sortCondition ref="L1:L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ORA_exp1_combined_nested_semant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Gruffydd Williams</cp:lastModifiedBy>
  <dcterms:created xsi:type="dcterms:W3CDTF">2026-04-02T12:15:33Z</dcterms:created>
  <dcterms:modified xsi:type="dcterms:W3CDTF">2026-05-11T13:42:43Z</dcterms:modified>
</cp:coreProperties>
</file>